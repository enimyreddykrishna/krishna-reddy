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tu\Downloads\"/>
    </mc:Choice>
  </mc:AlternateContent>
  <xr:revisionPtr revIDLastSave="0" documentId="13_ncr:1_{78D0F39B-840D-4300-8F8D-BAC8A43E0E11}" xr6:coauthVersionLast="47" xr6:coauthVersionMax="47" xr10:uidLastSave="{00000000-0000-0000-0000-000000000000}"/>
  <bookViews>
    <workbookView xWindow="-120" yWindow="-120" windowWidth="20730" windowHeight="11160" firstSheet="4" activeTab="10" xr2:uid="{C68A313F-C1E8-4E7A-A6E1-356B5022A926}"/>
  </bookViews>
  <sheets>
    <sheet name="Sheet1" sheetId="1" state="hidden" r:id="rId1"/>
    <sheet name="Sheet2" sheetId="2" state="hidden" r:id="rId2"/>
    <sheet name="List of Tables" sheetId="3" r:id="rId3"/>
    <sheet name="customers" sheetId="4" r:id="rId4"/>
    <sheet name="drivers" sheetId="5" r:id="rId5"/>
    <sheet name="food_items" sheetId="6" r:id="rId6"/>
    <sheet name="orders" sheetId="7" r:id="rId7"/>
    <sheet name="orders_items" sheetId="8" r:id="rId8"/>
    <sheet name="restaurants" sheetId="9" r:id="rId9"/>
    <sheet name="Analysis" sheetId="10" r:id="rId10"/>
    <sheet name="Analysis-2" sheetId="11" r:id="rId11"/>
    <sheet name="Sheet3" sheetId="12" r:id="rId12"/>
  </sheets>
  <definedNames>
    <definedName name="_xlnm._FilterDatabase" localSheetId="9" hidden="1">Analysis!#REF!</definedName>
    <definedName name="_xlnm._FilterDatabase" localSheetId="10" hidden="1">'Analysis-2'!$C$40:$F$392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" i="11" l="1"/>
  <c r="Q11" i="11"/>
  <c r="Q10" i="11"/>
  <c r="Q9" i="11"/>
  <c r="Q8" i="11"/>
  <c r="Q7" i="11"/>
  <c r="Q6" i="11"/>
  <c r="Q5" i="11"/>
  <c r="Q4" i="11"/>
  <c r="Q3" i="11"/>
  <c r="J15" i="7" l="1"/>
  <c r="H5" i="10"/>
  <c r="H6" i="10"/>
  <c r="O6" i="10" s="1"/>
  <c r="H7" i="10"/>
  <c r="K7" i="10" s="1"/>
  <c r="H4" i="10"/>
  <c r="K4" i="10" s="1"/>
  <c r="G3" i="7"/>
  <c r="G4" i="7"/>
  <c r="G5" i="7"/>
  <c r="G6" i="7"/>
  <c r="G7" i="7"/>
  <c r="G8" i="7"/>
  <c r="G9" i="7"/>
  <c r="G10" i="7"/>
  <c r="G11" i="7"/>
  <c r="G2" i="7"/>
  <c r="D30" i="11"/>
  <c r="D28" i="11"/>
  <c r="D27" i="11"/>
  <c r="D25" i="11"/>
  <c r="D24" i="11"/>
  <c r="D23" i="11"/>
  <c r="K9" i="10"/>
  <c r="L9" i="10"/>
  <c r="M9" i="10"/>
  <c r="N9" i="10"/>
  <c r="O9" i="10"/>
  <c r="J12" i="10"/>
  <c r="J13" i="10"/>
  <c r="I11" i="10"/>
  <c r="J11" i="10"/>
  <c r="I12" i="10"/>
  <c r="I13" i="10"/>
  <c r="G12" i="10"/>
  <c r="G13" i="10"/>
  <c r="G11" i="10"/>
  <c r="O5" i="10"/>
  <c r="N5" i="10"/>
  <c r="N6" i="10"/>
  <c r="N7" i="10"/>
  <c r="M5" i="10"/>
  <c r="M6" i="10"/>
  <c r="M12" i="10" s="1"/>
  <c r="M7" i="10"/>
  <c r="L5" i="10"/>
  <c r="O4" i="10"/>
  <c r="N4" i="10"/>
  <c r="M4" i="10"/>
  <c r="L4" i="10"/>
  <c r="K5" i="10"/>
  <c r="M13" i="10" l="1"/>
  <c r="O11" i="10"/>
  <c r="N13" i="10"/>
  <c r="H11" i="10"/>
  <c r="L6" i="10"/>
  <c r="L12" i="10" s="1"/>
  <c r="H12" i="10"/>
  <c r="K6" i="10"/>
  <c r="K12" i="10" s="1"/>
  <c r="N11" i="10"/>
  <c r="O7" i="10"/>
  <c r="L7" i="10"/>
  <c r="L13" i="10" s="1"/>
  <c r="M11" i="10"/>
  <c r="O13" i="10"/>
  <c r="N12" i="10"/>
  <c r="H13" i="10"/>
  <c r="O12" i="10"/>
  <c r="K11" i="10"/>
  <c r="L11" i="10"/>
  <c r="C8" i="10"/>
  <c r="G9" i="10"/>
  <c r="H9" i="10"/>
  <c r="I9" i="10"/>
  <c r="J9" i="10"/>
  <c r="F10" i="10"/>
  <c r="F11" i="10"/>
  <c r="F12" i="10"/>
  <c r="F13" i="10"/>
  <c r="F9" i="10"/>
  <c r="D5" i="10"/>
  <c r="D6" i="10"/>
  <c r="D7" i="10"/>
  <c r="J5" i="2"/>
  <c r="H5" i="1"/>
  <c r="G5" i="1"/>
  <c r="F5" i="1"/>
  <c r="E5" i="1"/>
  <c r="D5" i="1"/>
  <c r="D4" i="1"/>
  <c r="C4" i="1"/>
  <c r="C3" i="1"/>
  <c r="K13" i="10" l="1"/>
</calcChain>
</file>

<file path=xl/sharedStrings.xml><?xml version="1.0" encoding="utf-8"?>
<sst xmlns="http://schemas.openxmlformats.org/spreadsheetml/2006/main" count="1336" uniqueCount="285">
  <si>
    <t>Day</t>
  </si>
  <si>
    <t>Play Tennis</t>
  </si>
  <si>
    <t>Food Hunter</t>
  </si>
  <si>
    <t>Rev</t>
  </si>
  <si>
    <t>Month</t>
  </si>
  <si>
    <t>decreaase</t>
  </si>
  <si>
    <t>Restaurent</t>
  </si>
  <si>
    <t>Tables_in_food_hunter</t>
  </si>
  <si>
    <t>customers</t>
  </si>
  <si>
    <t>drivers</t>
  </si>
  <si>
    <t>food_items</t>
  </si>
  <si>
    <t>orders</t>
  </si>
  <si>
    <t>orders_items</t>
  </si>
  <si>
    <t>restaurants</t>
  </si>
  <si>
    <t>customer_id</t>
  </si>
  <si>
    <t>first_name</t>
  </si>
  <si>
    <t>last_name</t>
  </si>
  <si>
    <t>phone_number</t>
  </si>
  <si>
    <t>address</t>
  </si>
  <si>
    <t>Donald</t>
  </si>
  <si>
    <t>Arend</t>
  </si>
  <si>
    <t>49 Madison Avenue</t>
  </si>
  <si>
    <t>Richard</t>
  </si>
  <si>
    <t>Krick</t>
  </si>
  <si>
    <t>32 Vineyard Drive</t>
  </si>
  <si>
    <t>Pauline</t>
  </si>
  <si>
    <t>Hardman</t>
  </si>
  <si>
    <t>18 Elmwood Place</t>
  </si>
  <si>
    <t>Lawrence</t>
  </si>
  <si>
    <t>Sultzer</t>
  </si>
  <si>
    <t>77 Rosedale Avenue</t>
  </si>
  <si>
    <t>Michael</t>
  </si>
  <si>
    <t>Honeycutt</t>
  </si>
  <si>
    <t>56 Broad Street</t>
  </si>
  <si>
    <t>Anthony</t>
  </si>
  <si>
    <t>Gordon</t>
  </si>
  <si>
    <t>36 Hillcrest Avenue</t>
  </si>
  <si>
    <t>Boston</t>
  </si>
  <si>
    <t>44 Greystone Terrace</t>
  </si>
  <si>
    <t>Lorraine</t>
  </si>
  <si>
    <t>Jones</t>
  </si>
  <si>
    <t>13 Sunset Drive</t>
  </si>
  <si>
    <t>Jana</t>
  </si>
  <si>
    <t>Casillas</t>
  </si>
  <si>
    <t>74 Park Lane</t>
  </si>
  <si>
    <t>Robert</t>
  </si>
  <si>
    <t>Aadland</t>
  </si>
  <si>
    <t>25 Kingston Way</t>
  </si>
  <si>
    <t>Food_Hunter</t>
  </si>
  <si>
    <t>driver_id</t>
  </si>
  <si>
    <t>name</t>
  </si>
  <si>
    <t>rating</t>
  </si>
  <si>
    <t>Avery Yost</t>
  </si>
  <si>
    <t>Anthony Pegram</t>
  </si>
  <si>
    <t>Elaine Kimes</t>
  </si>
  <si>
    <t>Julie West</t>
  </si>
  <si>
    <t>Jamie Hyman</t>
  </si>
  <si>
    <t>Michael Villarreal</t>
  </si>
  <si>
    <t>Helen Lyons</t>
  </si>
  <si>
    <t>Anna Salisbury</t>
  </si>
  <si>
    <t>Aurora Taylor</t>
  </si>
  <si>
    <t>Clemmie Wong</t>
  </si>
  <si>
    <t>item_id</t>
  </si>
  <si>
    <t>restaurant_id</t>
  </si>
  <si>
    <t>item_name</t>
  </si>
  <si>
    <t>food_type</t>
  </si>
  <si>
    <t>price</t>
  </si>
  <si>
    <t>calories</t>
  </si>
  <si>
    <t>Coconut Ice Cream</t>
  </si>
  <si>
    <t>vegetarian</t>
  </si>
  <si>
    <t>NaN</t>
  </si>
  <si>
    <t>Vegetable Pakoras</t>
  </si>
  <si>
    <t>Veg</t>
  </si>
  <si>
    <t>Wonton soup</t>
  </si>
  <si>
    <t>non-vegetarian</t>
  </si>
  <si>
    <t>Spring rolls</t>
  </si>
  <si>
    <t>Non-veg</t>
  </si>
  <si>
    <t>Chinotto</t>
  </si>
  <si>
    <t>Rad Na noodles</t>
  </si>
  <si>
    <t>Lasagna</t>
  </si>
  <si>
    <t>Lamb Seekh Kebab</t>
  </si>
  <si>
    <t>Non-Veg</t>
  </si>
  <si>
    <t>Panzerotti</t>
  </si>
  <si>
    <t>veg</t>
  </si>
  <si>
    <t>Crab Rangoon</t>
  </si>
  <si>
    <t>order_id</t>
  </si>
  <si>
    <t>order_date</t>
  </si>
  <si>
    <t>order_time</t>
  </si>
  <si>
    <t>delivered_date</t>
  </si>
  <si>
    <t>delivered_time</t>
  </si>
  <si>
    <t>delivery_address</t>
  </si>
  <si>
    <t>total_price</t>
  </si>
  <si>
    <t>delivery_fee</t>
  </si>
  <si>
    <t>discount</t>
  </si>
  <si>
    <t>final_price</t>
  </si>
  <si>
    <t>order_rating</t>
  </si>
  <si>
    <t>7 Cedar Lane</t>
  </si>
  <si>
    <t>7 Lexington Place</t>
  </si>
  <si>
    <t>20 Linden Lane</t>
  </si>
  <si>
    <t>6 Rosedale Avenue</t>
  </si>
  <si>
    <t>36 Cherrywood Lane</t>
  </si>
  <si>
    <t>68 Broad Street</t>
  </si>
  <si>
    <t>26 Belmont Avenue</t>
  </si>
  <si>
    <t>8 Vine Street</t>
  </si>
  <si>
    <t>48 Maple Avenue</t>
  </si>
  <si>
    <t>59 Hillcrest Road</t>
  </si>
  <si>
    <t>quantity</t>
  </si>
  <si>
    <t>restaurant_name</t>
  </si>
  <si>
    <t>cuisine</t>
  </si>
  <si>
    <t>L'Artusi</t>
  </si>
  <si>
    <t>Italian</t>
  </si>
  <si>
    <t>"3540 7th Ave</t>
  </si>
  <si>
    <t>Loring Place</t>
  </si>
  <si>
    <t>Chinese</t>
  </si>
  <si>
    <t>"6947 4th Ave</t>
  </si>
  <si>
    <t>Café China</t>
  </si>
  <si>
    <t>"9675 7th Ave</t>
  </si>
  <si>
    <t>Minetta Tavern</t>
  </si>
  <si>
    <t>Thai</t>
  </si>
  <si>
    <t>"609 2nd Ave</t>
  </si>
  <si>
    <t>Carbone</t>
  </si>
  <si>
    <t>"871 8th Ave</t>
  </si>
  <si>
    <t>Upland</t>
  </si>
  <si>
    <t>"3731 3rd Ave</t>
  </si>
  <si>
    <t>Casa Mono</t>
  </si>
  <si>
    <t>"1499 10th Ave</t>
  </si>
  <si>
    <t>Pasquale Jones</t>
  </si>
  <si>
    <t>"9761 4th Ave</t>
  </si>
  <si>
    <t>Frankies 457 Spuntino</t>
  </si>
  <si>
    <t>"3817 8th Ave</t>
  </si>
  <si>
    <t>Hwa Yuan Szechuan</t>
  </si>
  <si>
    <t>"1261 6th Ave</t>
  </si>
  <si>
    <t>Table Name</t>
  </si>
  <si>
    <t>No.of Records</t>
  </si>
  <si>
    <t>min_date</t>
  </si>
  <si>
    <t>max_date</t>
  </si>
  <si>
    <t>month</t>
  </si>
  <si>
    <t>revenue</t>
  </si>
  <si>
    <t>Growth</t>
  </si>
  <si>
    <t>no.of customers</t>
  </si>
  <si>
    <t>Revenue</t>
  </si>
  <si>
    <t>units</t>
  </si>
  <si>
    <t>Invoices</t>
  </si>
  <si>
    <t>ATV</t>
  </si>
  <si>
    <t>AMS</t>
  </si>
  <si>
    <t>Revenue / customer_id</t>
  </si>
  <si>
    <t>ASP</t>
  </si>
  <si>
    <t>final_price / quantity</t>
  </si>
  <si>
    <t>FREQ</t>
  </si>
  <si>
    <t>UPT</t>
  </si>
  <si>
    <t>KPIS</t>
  </si>
  <si>
    <t>Orders</t>
  </si>
  <si>
    <t>Calculated</t>
  </si>
  <si>
    <t>Tables to look</t>
  </si>
  <si>
    <t>Revenue /order_id</t>
  </si>
  <si>
    <t>units/ order_id</t>
  </si>
  <si>
    <t>order_id / customer_id</t>
  </si>
  <si>
    <t>invoices</t>
  </si>
  <si>
    <t>June</t>
  </si>
  <si>
    <t>Roberta's</t>
  </si>
  <si>
    <t>Totto Ramen</t>
  </si>
  <si>
    <t>The Slanted Door</t>
  </si>
  <si>
    <t>Via Carota</t>
  </si>
  <si>
    <t>Katz's Delicatessen</t>
  </si>
  <si>
    <t>Bohemian</t>
  </si>
  <si>
    <t>Nom Wah Tea Parlor</t>
  </si>
  <si>
    <t>Balthazar</t>
  </si>
  <si>
    <t>The Modern</t>
  </si>
  <si>
    <t>Jeju Noodle Bar</t>
  </si>
  <si>
    <t>Marta</t>
  </si>
  <si>
    <t>Eataly NYC Flatiron</t>
  </si>
  <si>
    <t>SriPraPhai</t>
  </si>
  <si>
    <t>Rubirosa</t>
  </si>
  <si>
    <t>Adda Indian Canteen</t>
  </si>
  <si>
    <t>Scarr's Pizza</t>
  </si>
  <si>
    <t>Tacombi</t>
  </si>
  <si>
    <t>Russ &amp; Daughters</t>
  </si>
  <si>
    <t>Burger Joint</t>
  </si>
  <si>
    <t>Hao Noodle</t>
  </si>
  <si>
    <t>Superiority Burger</t>
  </si>
  <si>
    <t>Cote Basque Wine House</t>
  </si>
  <si>
    <t>Diner</t>
  </si>
  <si>
    <t>Chez Ma Tante</t>
  </si>
  <si>
    <t>Mimi Cheng's</t>
  </si>
  <si>
    <t>Le Bernardin</t>
  </si>
  <si>
    <t>J.G. Melon</t>
  </si>
  <si>
    <t>Uncle Boons</t>
  </si>
  <si>
    <t>Joe's Pizza</t>
  </si>
  <si>
    <t>AbcV</t>
  </si>
  <si>
    <t>Osteria Morini</t>
  </si>
  <si>
    <t>Llama Inn</t>
  </si>
  <si>
    <t>Estela</t>
  </si>
  <si>
    <t>The Mermaid Inn</t>
  </si>
  <si>
    <t>La Newyorkina</t>
  </si>
  <si>
    <t>Marea</t>
  </si>
  <si>
    <t>Hearth</t>
  </si>
  <si>
    <t>L'Appart</t>
  </si>
  <si>
    <t>Bar Pitti</t>
  </si>
  <si>
    <t>Ops</t>
  </si>
  <si>
    <t>Ippudo</t>
  </si>
  <si>
    <t>Chikalicious Dessert Bar</t>
  </si>
  <si>
    <t>ABC Kitchen</t>
  </si>
  <si>
    <t>Barbuto</t>
  </si>
  <si>
    <t>Eleven Madison Park</t>
  </si>
  <si>
    <t>Sushi Inoue</t>
  </si>
  <si>
    <t>Xi'an Famous Foods</t>
  </si>
  <si>
    <t>Sushi Yasuda</t>
  </si>
  <si>
    <t>Lilia</t>
  </si>
  <si>
    <t>Satsuki</t>
  </si>
  <si>
    <t>Cosme</t>
  </si>
  <si>
    <t>I Sodi</t>
  </si>
  <si>
    <t>Raoul's</t>
  </si>
  <si>
    <t>Gotham Bar and Grill</t>
  </si>
  <si>
    <t>Don Angie</t>
  </si>
  <si>
    <t>El Rey</t>
  </si>
  <si>
    <t>Milk Bar</t>
  </si>
  <si>
    <t>Lobster Club</t>
  </si>
  <si>
    <t>Mission Chinese Food</t>
  </si>
  <si>
    <t>Llama San</t>
  </si>
  <si>
    <t>Empire Diner</t>
  </si>
  <si>
    <t>Il Buco</t>
  </si>
  <si>
    <t>Casa Enrique</t>
  </si>
  <si>
    <t>Jack's Wife Freda</t>
  </si>
  <si>
    <t>Cafe Mogador</t>
  </si>
  <si>
    <t>Estiatorio Milos</t>
  </si>
  <si>
    <t>Babbo Pizzeria e Enoteca</t>
  </si>
  <si>
    <t>Eataly NYC Downtown</t>
  </si>
  <si>
    <t>Charlie Bird</t>
  </si>
  <si>
    <t>Cote Korean Steakhouse</t>
  </si>
  <si>
    <t>Empellon</t>
  </si>
  <si>
    <t>Di Fara Pizza</t>
  </si>
  <si>
    <t>Kiki's</t>
  </si>
  <si>
    <t>Cervo's</t>
  </si>
  <si>
    <t>Cote</t>
  </si>
  <si>
    <t>Peasant</t>
  </si>
  <si>
    <t>Atla</t>
  </si>
  <si>
    <t>Santina</t>
  </si>
  <si>
    <t>Shuka</t>
  </si>
  <si>
    <t>July</t>
  </si>
  <si>
    <t>August</t>
  </si>
  <si>
    <t>September</t>
  </si>
  <si>
    <t>month wise revenue of restaurant</t>
  </si>
  <si>
    <t>Revenue = Number of Customers × Order Frequency × Average Order Value</t>
  </si>
  <si>
    <t>total_orders</t>
  </si>
  <si>
    <t>avg_order_rating</t>
  </si>
  <si>
    <t>avg_delivery_time_mins</t>
  </si>
  <si>
    <t>Carolyn Sastre</t>
  </si>
  <si>
    <t>Candi Allard</t>
  </si>
  <si>
    <t>Jean Kent</t>
  </si>
  <si>
    <t>Nicholas Burney</t>
  </si>
  <si>
    <t>Sherry Ager</t>
  </si>
  <si>
    <t>John Perez</t>
  </si>
  <si>
    <t>Amanda Maher</t>
  </si>
  <si>
    <t>Keith Abdo</t>
  </si>
  <si>
    <t>Jennifer Johnson</t>
  </si>
  <si>
    <t>Charles Paine</t>
  </si>
  <si>
    <t>Ozell Hayes</t>
  </si>
  <si>
    <t>Thomas Tripp</t>
  </si>
  <si>
    <t>Charlene Johnson</t>
  </si>
  <si>
    <t>Drivers Peformance</t>
  </si>
  <si>
    <t>existing_jun_jul_cust</t>
  </si>
  <si>
    <t>existing_jun_aug_cust</t>
  </si>
  <si>
    <t>existing_jun_sep_cust</t>
  </si>
  <si>
    <t>existing_jul_aug_cust</t>
  </si>
  <si>
    <t>existing_jul_sep_cust</t>
  </si>
  <si>
    <t>existing_aug_sep_cust</t>
  </si>
  <si>
    <t>Flag</t>
  </si>
  <si>
    <t>Customers</t>
  </si>
  <si>
    <t>Total_Jun_cust</t>
  </si>
  <si>
    <t>Total_July_cust</t>
  </si>
  <si>
    <t>Total_Aug_cust</t>
  </si>
  <si>
    <t>-</t>
  </si>
  <si>
    <t>portion</t>
  </si>
  <si>
    <t xml:space="preserve">Churn rate </t>
  </si>
  <si>
    <t>order_month</t>
  </si>
  <si>
    <t>avg_monthly_rating</t>
  </si>
  <si>
    <t># of orders</t>
  </si>
  <si>
    <t>tm_of_dlvr</t>
  </si>
  <si>
    <t>avg_time_dlvry_minutes</t>
  </si>
  <si>
    <t>Dlvry time Analysis</t>
  </si>
  <si>
    <t>Total</t>
  </si>
  <si>
    <t>Customer Kpi's</t>
  </si>
  <si>
    <t>Monthly_AVG_Rating</t>
  </si>
  <si>
    <t>month wise resstaurant orders and ratings</t>
  </si>
  <si>
    <t>time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</si>
</sst>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7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9" fontId="3" fillId="0" borderId="10" xfId="0" applyNumberFormat="1" applyFont="1" applyBorder="1"/>
    <xf numFmtId="9" fontId="0" fillId="0" borderId="6" xfId="0" applyNumberForma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0" fillId="0" borderId="12" xfId="1" applyNumberFormat="1" applyFont="1" applyFill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/>
    <xf numFmtId="164" fontId="0" fillId="0" borderId="8" xfId="0" applyNumberFormat="1" applyBorder="1"/>
    <xf numFmtId="0" fontId="0" fillId="0" borderId="9" xfId="0" applyBorder="1"/>
    <xf numFmtId="43" fontId="1" fillId="0" borderId="1" xfId="1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0" fillId="0" borderId="11" xfId="0" applyNumberFormat="1" applyBorder="1" applyAlignment="1">
      <alignment vertical="center"/>
    </xf>
    <xf numFmtId="43" fontId="1" fillId="0" borderId="12" xfId="1" applyFont="1" applyBorder="1" applyAlignment="1">
      <alignment vertical="center"/>
    </xf>
    <xf numFmtId="164" fontId="1" fillId="0" borderId="13" xfId="1" applyNumberFormat="1" applyFont="1" applyBorder="1" applyAlignment="1">
      <alignment vertical="center"/>
    </xf>
    <xf numFmtId="14" fontId="0" fillId="0" borderId="5" xfId="0" applyNumberFormat="1" applyBorder="1" applyAlignment="1">
      <alignment vertical="center"/>
    </xf>
    <xf numFmtId="164" fontId="1" fillId="0" borderId="6" xfId="1" applyNumberFormat="1" applyFont="1" applyBorder="1" applyAlignment="1">
      <alignment vertical="center"/>
    </xf>
    <xf numFmtId="14" fontId="0" fillId="0" borderId="7" xfId="0" applyNumberFormat="1" applyBorder="1" applyAlignment="1">
      <alignment vertical="center"/>
    </xf>
    <xf numFmtId="43" fontId="1" fillId="0" borderId="8" xfId="1" applyFont="1" applyBorder="1" applyAlignment="1">
      <alignment vertical="center"/>
    </xf>
    <xf numFmtId="164" fontId="1" fillId="0" borderId="9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vertical="center"/>
    </xf>
    <xf numFmtId="22" fontId="0" fillId="0" borderId="7" xfId="0" applyNumberFormat="1" applyBorder="1" applyAlignment="1">
      <alignment vertical="center"/>
    </xf>
    <xf numFmtId="22" fontId="0" fillId="0" borderId="9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22" fontId="0" fillId="0" borderId="7" xfId="0" applyNumberFormat="1" applyBorder="1"/>
    <xf numFmtId="22" fontId="0" fillId="0" borderId="8" xfId="0" applyNumberFormat="1" applyBorder="1"/>
    <xf numFmtId="0" fontId="6" fillId="0" borderId="2" xfId="0" applyFont="1" applyBorder="1" applyAlignment="1">
      <alignment vertical="center"/>
    </xf>
    <xf numFmtId="165" fontId="0" fillId="0" borderId="9" xfId="2" applyNumberFormat="1" applyFont="1" applyBorder="1"/>
    <xf numFmtId="21" fontId="0" fillId="0" borderId="1" xfId="0" applyNumberForma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22" fontId="0" fillId="0" borderId="8" xfId="0" applyNumberFormat="1" applyBorder="1" applyAlignment="1">
      <alignment vertical="center"/>
    </xf>
    <xf numFmtId="21" fontId="0" fillId="0" borderId="8" xfId="0" applyNumberForma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7" fillId="0" borderId="23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8E62-23E6-4E3A-B1F1-F1B208ECEA24}">
  <dimension ref="C3:H5"/>
  <sheetViews>
    <sheetView workbookViewId="0">
      <selection activeCell="G6" sqref="G6"/>
    </sheetView>
  </sheetViews>
  <sheetFormatPr defaultRowHeight="15" x14ac:dyDescent="0.25"/>
  <cols>
    <col min="6" max="6" width="11.28515625" bestFit="1" customWidth="1"/>
    <col min="7" max="7" width="12.28515625" bestFit="1" customWidth="1"/>
    <col min="8" max="8" width="9.7109375" bestFit="1" customWidth="1"/>
  </cols>
  <sheetData>
    <row r="3" spans="3:8" x14ac:dyDescent="0.25">
      <c r="C3">
        <f>7.5*102.76</f>
        <v>770.7</v>
      </c>
      <c r="D3">
        <v>102.76</v>
      </c>
    </row>
    <row r="4" spans="3:8" x14ac:dyDescent="0.25">
      <c r="C4">
        <f>C3*20</f>
        <v>15414</v>
      </c>
      <c r="D4">
        <f>C4*5</f>
        <v>77070</v>
      </c>
    </row>
    <row r="5" spans="3:8" x14ac:dyDescent="0.25">
      <c r="D5">
        <f>20*D3</f>
        <v>2055.2000000000003</v>
      </c>
      <c r="E5">
        <f>D5*5</f>
        <v>10276.000000000002</v>
      </c>
      <c r="F5" s="1">
        <f>5000*30</f>
        <v>150000</v>
      </c>
      <c r="G5" s="1">
        <f>F5*12</f>
        <v>1800000</v>
      </c>
      <c r="H5" s="2">
        <f>G5*3</f>
        <v>5400000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A1FC-3536-41EB-9F86-41AA6B8916CC}">
  <dimension ref="A1:L25"/>
  <sheetViews>
    <sheetView workbookViewId="0">
      <selection activeCell="E22" sqref="E22"/>
    </sheetView>
  </sheetViews>
  <sheetFormatPr defaultRowHeight="15" x14ac:dyDescent="0.25"/>
  <cols>
    <col min="2" max="2" width="20.7109375" bestFit="1" customWidth="1"/>
    <col min="8" max="8" width="11.140625" bestFit="1" customWidth="1"/>
  </cols>
  <sheetData>
    <row r="1" spans="1:12" x14ac:dyDescent="0.25">
      <c r="A1" s="92" t="s">
        <v>1</v>
      </c>
      <c r="B1" s="93"/>
      <c r="C1" s="93"/>
      <c r="D1" s="94"/>
    </row>
    <row r="2" spans="1:12" x14ac:dyDescent="0.25">
      <c r="A2" s="6" t="s">
        <v>0</v>
      </c>
      <c r="B2" s="5"/>
      <c r="C2" s="5"/>
      <c r="D2" s="7"/>
    </row>
    <row r="3" spans="1:12" x14ac:dyDescent="0.25">
      <c r="A3" s="6">
        <v>1</v>
      </c>
      <c r="B3" s="5"/>
      <c r="C3" s="5"/>
      <c r="D3" s="7"/>
    </row>
    <row r="4" spans="1:12" x14ac:dyDescent="0.25">
      <c r="A4" s="6">
        <v>2</v>
      </c>
      <c r="B4" s="5"/>
      <c r="C4" s="5"/>
      <c r="D4" s="7"/>
      <c r="H4" t="s">
        <v>2</v>
      </c>
      <c r="L4" t="s">
        <v>6</v>
      </c>
    </row>
    <row r="5" spans="1:12" x14ac:dyDescent="0.25">
      <c r="A5" s="6">
        <v>3</v>
      </c>
      <c r="B5" s="5"/>
      <c r="C5" s="5"/>
      <c r="D5" s="7"/>
      <c r="H5" t="s">
        <v>3</v>
      </c>
      <c r="I5" t="s">
        <v>4</v>
      </c>
      <c r="J5" t="str">
        <f>I5</f>
        <v>Month</v>
      </c>
    </row>
    <row r="6" spans="1:12" x14ac:dyDescent="0.25">
      <c r="A6" s="6">
        <v>4</v>
      </c>
      <c r="B6" s="5"/>
      <c r="C6" s="5"/>
      <c r="D6" s="7"/>
      <c r="J6" t="s">
        <v>5</v>
      </c>
    </row>
    <row r="7" spans="1:12" x14ac:dyDescent="0.25">
      <c r="A7" s="6">
        <v>5</v>
      </c>
      <c r="B7" s="5"/>
      <c r="C7" s="5"/>
      <c r="D7" s="7"/>
    </row>
    <row r="8" spans="1:12" x14ac:dyDescent="0.25">
      <c r="A8" s="6">
        <v>6</v>
      </c>
      <c r="B8" s="5"/>
      <c r="C8" s="5"/>
      <c r="D8" s="7"/>
    </row>
    <row r="9" spans="1:12" x14ac:dyDescent="0.25">
      <c r="A9" s="6">
        <v>7</v>
      </c>
      <c r="B9" s="5"/>
      <c r="C9" s="5"/>
      <c r="D9" s="7"/>
    </row>
    <row r="10" spans="1:12" x14ac:dyDescent="0.25">
      <c r="A10" s="6">
        <v>8</v>
      </c>
      <c r="B10" s="5"/>
      <c r="C10" s="5"/>
      <c r="D10" s="7"/>
    </row>
    <row r="11" spans="1:12" x14ac:dyDescent="0.25">
      <c r="A11" s="6">
        <v>9</v>
      </c>
      <c r="B11" s="5"/>
      <c r="C11" s="5"/>
      <c r="D11" s="7"/>
    </row>
    <row r="12" spans="1:12" x14ac:dyDescent="0.25">
      <c r="A12" s="6">
        <v>10</v>
      </c>
      <c r="B12" s="5"/>
      <c r="C12" s="5"/>
      <c r="D12" s="7"/>
    </row>
    <row r="13" spans="1:12" x14ac:dyDescent="0.25">
      <c r="A13" s="6">
        <v>11</v>
      </c>
      <c r="B13" s="5"/>
      <c r="C13" s="5"/>
      <c r="D13" s="7"/>
    </row>
    <row r="14" spans="1:12" x14ac:dyDescent="0.25">
      <c r="A14" s="6">
        <v>12</v>
      </c>
      <c r="B14" s="5"/>
      <c r="C14" s="5"/>
      <c r="D14" s="7"/>
    </row>
    <row r="15" spans="1:12" x14ac:dyDescent="0.25">
      <c r="A15" s="6">
        <v>13</v>
      </c>
      <c r="B15" s="5"/>
      <c r="C15" s="5"/>
      <c r="D15" s="7"/>
    </row>
    <row r="16" spans="1:12" ht="15.75" thickBot="1" x14ac:dyDescent="0.3">
      <c r="A16" s="8">
        <v>14</v>
      </c>
      <c r="B16" s="9"/>
      <c r="C16" s="9"/>
      <c r="D16" s="10"/>
    </row>
    <row r="19" spans="1:2" x14ac:dyDescent="0.25">
      <c r="A19" s="11"/>
      <c r="B19" s="11" t="s">
        <v>7</v>
      </c>
    </row>
    <row r="20" spans="1:2" x14ac:dyDescent="0.25">
      <c r="A20" s="3"/>
    </row>
    <row r="21" spans="1:2" x14ac:dyDescent="0.25">
      <c r="A21" s="3"/>
    </row>
    <row r="22" spans="1:2" x14ac:dyDescent="0.25">
      <c r="A22" s="3"/>
    </row>
    <row r="23" spans="1:2" x14ac:dyDescent="0.25">
      <c r="A23" s="3"/>
    </row>
    <row r="24" spans="1:2" x14ac:dyDescent="0.25">
      <c r="A24" s="3"/>
    </row>
    <row r="25" spans="1:2" x14ac:dyDescent="0.25">
      <c r="A25" s="3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A5A7-8642-4CE9-9DEA-5062D89B2F16}">
  <dimension ref="B1:G9"/>
  <sheetViews>
    <sheetView workbookViewId="0">
      <selection activeCell="B2" sqref="B2:C2"/>
    </sheetView>
  </sheetViews>
  <sheetFormatPr defaultRowHeight="15" x14ac:dyDescent="0.25"/>
  <cols>
    <col min="2" max="2" width="25.85546875" customWidth="1"/>
    <col min="3" max="3" width="12.7109375" bestFit="1" customWidth="1"/>
    <col min="6" max="7" width="15.42578125" bestFit="1" customWidth="1"/>
  </cols>
  <sheetData>
    <row r="1" spans="2:7" x14ac:dyDescent="0.25">
      <c r="F1" s="75" t="s">
        <v>134</v>
      </c>
      <c r="G1" s="77" t="s">
        <v>135</v>
      </c>
    </row>
    <row r="2" spans="2:7" ht="13.9" customHeight="1" thickBot="1" x14ac:dyDescent="0.3">
      <c r="B2" s="95" t="s">
        <v>48</v>
      </c>
      <c r="C2" s="95"/>
      <c r="F2" s="81">
        <v>44713</v>
      </c>
      <c r="G2" s="82">
        <v>44833</v>
      </c>
    </row>
    <row r="3" spans="2:7" ht="13.9" customHeight="1" x14ac:dyDescent="0.25">
      <c r="B3" s="13" t="s">
        <v>132</v>
      </c>
      <c r="C3" s="13" t="s">
        <v>133</v>
      </c>
    </row>
    <row r="4" spans="2:7" x14ac:dyDescent="0.25">
      <c r="B4" s="13" t="s">
        <v>8</v>
      </c>
      <c r="C4" s="12">
        <v>10000</v>
      </c>
    </row>
    <row r="5" spans="2:7" x14ac:dyDescent="0.25">
      <c r="B5" s="13" t="s">
        <v>9</v>
      </c>
      <c r="C5" s="12">
        <v>250</v>
      </c>
    </row>
    <row r="6" spans="2:7" x14ac:dyDescent="0.25">
      <c r="B6" s="13" t="s">
        <v>10</v>
      </c>
      <c r="C6" s="12">
        <v>314</v>
      </c>
    </row>
    <row r="7" spans="2:7" x14ac:dyDescent="0.25">
      <c r="B7" s="13" t="s">
        <v>11</v>
      </c>
      <c r="C7" s="12">
        <v>43118</v>
      </c>
    </row>
    <row r="8" spans="2:7" x14ac:dyDescent="0.25">
      <c r="B8" s="13" t="s">
        <v>12</v>
      </c>
      <c r="C8" s="12">
        <v>64727</v>
      </c>
    </row>
    <row r="9" spans="2:7" x14ac:dyDescent="0.25">
      <c r="B9" s="13" t="s">
        <v>13</v>
      </c>
      <c r="C9" s="12">
        <v>100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3D16-AE74-461D-B396-F79B5B901E93}">
  <dimension ref="A1:E12"/>
  <sheetViews>
    <sheetView workbookViewId="0">
      <selection activeCell="D18" sqref="D18"/>
    </sheetView>
  </sheetViews>
  <sheetFormatPr defaultRowHeight="15" x14ac:dyDescent="0.25"/>
  <cols>
    <col min="1" max="1" width="11.42578125" bestFit="1" customWidth="1"/>
    <col min="2" max="2" width="10" bestFit="1" customWidth="1"/>
    <col min="3" max="3" width="9.7109375" bestFit="1" customWidth="1"/>
    <col min="4" max="4" width="14.28515625" bestFit="1" customWidth="1"/>
    <col min="5" max="5" width="19.85546875" bestFit="1" customWidth="1"/>
  </cols>
  <sheetData>
    <row r="1" spans="1:5" x14ac:dyDescent="0.25">
      <c r="A1" s="79" t="s">
        <v>14</v>
      </c>
      <c r="B1" s="76" t="s">
        <v>15</v>
      </c>
      <c r="C1" s="76" t="s">
        <v>16</v>
      </c>
      <c r="D1" s="76" t="s">
        <v>17</v>
      </c>
      <c r="E1" s="77" t="s">
        <v>18</v>
      </c>
    </row>
    <row r="2" spans="1:5" x14ac:dyDescent="0.25">
      <c r="A2" s="22">
        <v>1</v>
      </c>
      <c r="B2" s="23" t="s">
        <v>19</v>
      </c>
      <c r="C2" s="23" t="s">
        <v>20</v>
      </c>
      <c r="D2" s="23">
        <v>9020474801</v>
      </c>
      <c r="E2" s="24" t="s">
        <v>21</v>
      </c>
    </row>
    <row r="3" spans="1:5" x14ac:dyDescent="0.25">
      <c r="A3" s="22">
        <v>2</v>
      </c>
      <c r="B3" s="23" t="s">
        <v>22</v>
      </c>
      <c r="C3" s="23" t="s">
        <v>23</v>
      </c>
      <c r="D3" s="23">
        <v>7040231632</v>
      </c>
      <c r="E3" s="24" t="s">
        <v>24</v>
      </c>
    </row>
    <row r="4" spans="1:5" x14ac:dyDescent="0.25">
      <c r="A4" s="22">
        <v>3</v>
      </c>
      <c r="B4" s="23" t="s">
        <v>25</v>
      </c>
      <c r="C4" s="23" t="s">
        <v>26</v>
      </c>
      <c r="D4" s="23">
        <v>9180289990</v>
      </c>
      <c r="E4" s="24" t="s">
        <v>27</v>
      </c>
    </row>
    <row r="5" spans="1:5" x14ac:dyDescent="0.25">
      <c r="A5" s="22">
        <v>4</v>
      </c>
      <c r="B5" s="23" t="s">
        <v>28</v>
      </c>
      <c r="C5" s="23" t="s">
        <v>29</v>
      </c>
      <c r="D5" s="23">
        <v>8278748624</v>
      </c>
      <c r="E5" s="24" t="s">
        <v>30</v>
      </c>
    </row>
    <row r="6" spans="1:5" x14ac:dyDescent="0.25">
      <c r="A6" s="22">
        <v>5</v>
      </c>
      <c r="B6" s="23" t="s">
        <v>31</v>
      </c>
      <c r="C6" s="23" t="s">
        <v>32</v>
      </c>
      <c r="D6" s="23">
        <v>8821565245</v>
      </c>
      <c r="E6" s="24" t="s">
        <v>33</v>
      </c>
    </row>
    <row r="7" spans="1:5" x14ac:dyDescent="0.25">
      <c r="A7" s="22">
        <v>6</v>
      </c>
      <c r="B7" s="23" t="s">
        <v>34</v>
      </c>
      <c r="C7" s="23" t="s">
        <v>35</v>
      </c>
      <c r="D7" s="23">
        <v>7700708874</v>
      </c>
      <c r="E7" s="24" t="s">
        <v>36</v>
      </c>
    </row>
    <row r="8" spans="1:5" x14ac:dyDescent="0.25">
      <c r="A8" s="22">
        <v>7</v>
      </c>
      <c r="B8" s="23" t="s">
        <v>31</v>
      </c>
      <c r="C8" s="23" t="s">
        <v>37</v>
      </c>
      <c r="D8" s="23">
        <v>8529502054</v>
      </c>
      <c r="E8" s="24" t="s">
        <v>38</v>
      </c>
    </row>
    <row r="9" spans="1:5" x14ac:dyDescent="0.25">
      <c r="A9" s="22">
        <v>8</v>
      </c>
      <c r="B9" s="23" t="s">
        <v>39</v>
      </c>
      <c r="C9" s="23" t="s">
        <v>40</v>
      </c>
      <c r="D9" s="23">
        <v>9288340166</v>
      </c>
      <c r="E9" s="24" t="s">
        <v>41</v>
      </c>
    </row>
    <row r="10" spans="1:5" x14ac:dyDescent="0.25">
      <c r="A10" s="22">
        <v>9</v>
      </c>
      <c r="B10" s="23" t="s">
        <v>42</v>
      </c>
      <c r="C10" s="23" t="s">
        <v>43</v>
      </c>
      <c r="D10" s="23">
        <v>8513379910</v>
      </c>
      <c r="E10" s="24" t="s">
        <v>44</v>
      </c>
    </row>
    <row r="11" spans="1:5" ht="15.75" thickBot="1" x14ac:dyDescent="0.3">
      <c r="A11" s="25">
        <v>10</v>
      </c>
      <c r="B11" s="26" t="s">
        <v>45</v>
      </c>
      <c r="C11" s="26" t="s">
        <v>46</v>
      </c>
      <c r="D11" s="26">
        <v>7522389437</v>
      </c>
      <c r="E11" s="27" t="s">
        <v>47</v>
      </c>
    </row>
    <row r="12" spans="1:5" x14ac:dyDescent="0.25">
      <c r="A12" s="4"/>
      <c r="B12" s="4"/>
      <c r="C12" s="4"/>
      <c r="D12" s="4"/>
      <c r="E1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C680-2665-4AA3-81D0-F5ADB90A934B}">
  <dimension ref="A1:C12"/>
  <sheetViews>
    <sheetView workbookViewId="0">
      <selection activeCell="D11" sqref="D11"/>
    </sheetView>
  </sheetViews>
  <sheetFormatPr defaultRowHeight="15" x14ac:dyDescent="0.25"/>
  <cols>
    <col min="1" max="1" width="8.42578125" bestFit="1" customWidth="1"/>
    <col min="2" max="2" width="15.28515625" bestFit="1" customWidth="1"/>
    <col min="3" max="3" width="5.85546875" bestFit="1" customWidth="1"/>
  </cols>
  <sheetData>
    <row r="1" spans="1:3" x14ac:dyDescent="0.25">
      <c r="A1" s="75" t="s">
        <v>49</v>
      </c>
      <c r="B1" s="76" t="s">
        <v>50</v>
      </c>
      <c r="C1" s="77" t="s">
        <v>51</v>
      </c>
    </row>
    <row r="2" spans="1:3" x14ac:dyDescent="0.25">
      <c r="A2" s="6">
        <v>1</v>
      </c>
      <c r="B2" s="5" t="s">
        <v>52</v>
      </c>
      <c r="C2" s="7">
        <v>3.1</v>
      </c>
    </row>
    <row r="3" spans="1:3" x14ac:dyDescent="0.25">
      <c r="A3" s="6">
        <v>2</v>
      </c>
      <c r="B3" s="5" t="s">
        <v>53</v>
      </c>
      <c r="C3" s="7">
        <v>4.3</v>
      </c>
    </row>
    <row r="4" spans="1:3" x14ac:dyDescent="0.25">
      <c r="A4" s="6">
        <v>3</v>
      </c>
      <c r="B4" s="5" t="s">
        <v>54</v>
      </c>
      <c r="C4" s="7">
        <v>4.2</v>
      </c>
    </row>
    <row r="5" spans="1:3" x14ac:dyDescent="0.25">
      <c r="A5" s="6">
        <v>4</v>
      </c>
      <c r="B5" s="5" t="s">
        <v>55</v>
      </c>
      <c r="C5" s="7">
        <v>3.7</v>
      </c>
    </row>
    <row r="6" spans="1:3" x14ac:dyDescent="0.25">
      <c r="A6" s="6">
        <v>5</v>
      </c>
      <c r="B6" s="5" t="s">
        <v>56</v>
      </c>
      <c r="C6" s="7">
        <v>4.3</v>
      </c>
    </row>
    <row r="7" spans="1:3" x14ac:dyDescent="0.25">
      <c r="A7" s="6">
        <v>6</v>
      </c>
      <c r="B7" s="5" t="s">
        <v>57</v>
      </c>
      <c r="C7" s="7">
        <v>3.7</v>
      </c>
    </row>
    <row r="8" spans="1:3" x14ac:dyDescent="0.25">
      <c r="A8" s="6">
        <v>7</v>
      </c>
      <c r="B8" s="5" t="s">
        <v>58</v>
      </c>
      <c r="C8" s="7"/>
    </row>
    <row r="9" spans="1:3" x14ac:dyDescent="0.25">
      <c r="A9" s="6">
        <v>8</v>
      </c>
      <c r="B9" s="5" t="s">
        <v>59</v>
      </c>
      <c r="C9" s="7">
        <v>4.7</v>
      </c>
    </row>
    <row r="10" spans="1:3" x14ac:dyDescent="0.25">
      <c r="A10" s="6">
        <v>9</v>
      </c>
      <c r="B10" s="5" t="s">
        <v>60</v>
      </c>
      <c r="C10" s="7">
        <v>3.5</v>
      </c>
    </row>
    <row r="11" spans="1:3" ht="15.75" thickBot="1" x14ac:dyDescent="0.3">
      <c r="A11" s="8">
        <v>10</v>
      </c>
      <c r="B11" s="9" t="s">
        <v>61</v>
      </c>
      <c r="C11" s="10">
        <v>4.5</v>
      </c>
    </row>
    <row r="12" spans="1:3" x14ac:dyDescent="0.25">
      <c r="A12" s="4"/>
      <c r="B12" s="4"/>
      <c r="C1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4E3B-7444-4D4D-BD98-0E51D4CB11EE}">
  <dimension ref="A1:F12"/>
  <sheetViews>
    <sheetView workbookViewId="0">
      <selection sqref="A1:F1"/>
    </sheetView>
  </sheetViews>
  <sheetFormatPr defaultRowHeight="15" x14ac:dyDescent="0.25"/>
  <cols>
    <col min="1" max="1" width="7.28515625" bestFit="1" customWidth="1"/>
    <col min="2" max="2" width="12.28515625" bestFit="1" customWidth="1"/>
    <col min="3" max="3" width="16.7109375" bestFit="1" customWidth="1"/>
    <col min="4" max="4" width="13.42578125" bestFit="1" customWidth="1"/>
    <col min="5" max="5" width="5.140625" bestFit="1" customWidth="1"/>
    <col min="6" max="6" width="7.28515625" bestFit="1" customWidth="1"/>
  </cols>
  <sheetData>
    <row r="1" spans="1:6" x14ac:dyDescent="0.25">
      <c r="A1" s="75" t="s">
        <v>62</v>
      </c>
      <c r="B1" s="76" t="s">
        <v>63</v>
      </c>
      <c r="C1" s="76" t="s">
        <v>64</v>
      </c>
      <c r="D1" s="76" t="s">
        <v>65</v>
      </c>
      <c r="E1" s="76" t="s">
        <v>66</v>
      </c>
      <c r="F1" s="77" t="s">
        <v>67</v>
      </c>
    </row>
    <row r="2" spans="1:6" x14ac:dyDescent="0.25">
      <c r="A2" s="22">
        <v>101</v>
      </c>
      <c r="B2" s="23">
        <v>47</v>
      </c>
      <c r="C2" s="23" t="s">
        <v>68</v>
      </c>
      <c r="D2" s="23" t="s">
        <v>69</v>
      </c>
      <c r="E2" s="23" t="s">
        <v>70</v>
      </c>
      <c r="F2" s="24">
        <v>500</v>
      </c>
    </row>
    <row r="3" spans="1:6" x14ac:dyDescent="0.25">
      <c r="A3" s="22">
        <v>102</v>
      </c>
      <c r="B3" s="23">
        <v>93</v>
      </c>
      <c r="C3" s="23" t="s">
        <v>71</v>
      </c>
      <c r="D3" s="23" t="s">
        <v>72</v>
      </c>
      <c r="E3" s="23" t="s">
        <v>70</v>
      </c>
      <c r="F3" s="24">
        <v>1000</v>
      </c>
    </row>
    <row r="4" spans="1:6" x14ac:dyDescent="0.25">
      <c r="A4" s="22">
        <v>103</v>
      </c>
      <c r="B4" s="23">
        <v>24</v>
      </c>
      <c r="C4" s="23" t="s">
        <v>73</v>
      </c>
      <c r="D4" s="23" t="s">
        <v>74</v>
      </c>
      <c r="E4" s="23" t="s">
        <v>70</v>
      </c>
      <c r="F4" s="24">
        <v>400</v>
      </c>
    </row>
    <row r="5" spans="1:6" x14ac:dyDescent="0.25">
      <c r="A5" s="22">
        <v>104</v>
      </c>
      <c r="B5" s="23">
        <v>23</v>
      </c>
      <c r="C5" s="23" t="s">
        <v>75</v>
      </c>
      <c r="D5" s="23" t="s">
        <v>76</v>
      </c>
      <c r="E5" s="23" t="s">
        <v>70</v>
      </c>
      <c r="F5" s="24">
        <v>500</v>
      </c>
    </row>
    <row r="6" spans="1:6" x14ac:dyDescent="0.25">
      <c r="A6" s="22">
        <v>105</v>
      </c>
      <c r="B6" s="23">
        <v>77</v>
      </c>
      <c r="C6" s="23" t="s">
        <v>77</v>
      </c>
      <c r="D6" s="23" t="s">
        <v>69</v>
      </c>
      <c r="E6" s="23" t="s">
        <v>70</v>
      </c>
      <c r="F6" s="24">
        <v>500</v>
      </c>
    </row>
    <row r="7" spans="1:6" x14ac:dyDescent="0.25">
      <c r="A7" s="22">
        <v>106</v>
      </c>
      <c r="B7" s="23">
        <v>45</v>
      </c>
      <c r="C7" s="23" t="s">
        <v>78</v>
      </c>
      <c r="D7" s="23" t="s">
        <v>74</v>
      </c>
      <c r="E7" s="23" t="s">
        <v>70</v>
      </c>
      <c r="F7" s="24">
        <v>1000</v>
      </c>
    </row>
    <row r="8" spans="1:6" x14ac:dyDescent="0.25">
      <c r="A8" s="22">
        <v>107</v>
      </c>
      <c r="B8" s="23">
        <v>62</v>
      </c>
      <c r="C8" s="23" t="s">
        <v>79</v>
      </c>
      <c r="D8" s="23" t="s">
        <v>74</v>
      </c>
      <c r="E8" s="23" t="s">
        <v>70</v>
      </c>
      <c r="F8" s="24">
        <v>500</v>
      </c>
    </row>
    <row r="9" spans="1:6" x14ac:dyDescent="0.25">
      <c r="A9" s="22">
        <v>108</v>
      </c>
      <c r="B9" s="23">
        <v>3</v>
      </c>
      <c r="C9" s="23" t="s">
        <v>80</v>
      </c>
      <c r="D9" s="23" t="s">
        <v>81</v>
      </c>
      <c r="E9" s="23" t="s">
        <v>70</v>
      </c>
      <c r="F9" s="24">
        <v>500</v>
      </c>
    </row>
    <row r="10" spans="1:6" x14ac:dyDescent="0.25">
      <c r="A10" s="22">
        <v>109</v>
      </c>
      <c r="B10" s="23">
        <v>98</v>
      </c>
      <c r="C10" s="23" t="s">
        <v>82</v>
      </c>
      <c r="D10" s="23" t="s">
        <v>83</v>
      </c>
      <c r="E10" s="23" t="s">
        <v>70</v>
      </c>
      <c r="F10" s="24">
        <v>500</v>
      </c>
    </row>
    <row r="11" spans="1:6" ht="15.75" thickBot="1" x14ac:dyDescent="0.3">
      <c r="A11" s="25">
        <v>110</v>
      </c>
      <c r="B11" s="26">
        <v>65</v>
      </c>
      <c r="C11" s="26" t="s">
        <v>84</v>
      </c>
      <c r="D11" s="26" t="s">
        <v>74</v>
      </c>
      <c r="E11" s="26" t="s">
        <v>70</v>
      </c>
      <c r="F11" s="27">
        <v>1000</v>
      </c>
    </row>
    <row r="12" spans="1:6" x14ac:dyDescent="0.25">
      <c r="A12" s="4"/>
      <c r="B12" s="4"/>
      <c r="C12" s="4"/>
      <c r="D12" s="4"/>
      <c r="E12" s="4"/>
      <c r="F1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4ED5-7748-4D8E-9646-9DE99BF8505A}">
  <sheetPr>
    <tabColor rgb="FF00B0F0"/>
  </sheetPr>
  <dimension ref="A1:N22"/>
  <sheetViews>
    <sheetView workbookViewId="0">
      <selection activeCell="C1" sqref="C1:G11"/>
    </sheetView>
  </sheetViews>
  <sheetFormatPr defaultRowHeight="15" x14ac:dyDescent="0.25"/>
  <cols>
    <col min="1" max="1" width="8.140625" bestFit="1" customWidth="1"/>
    <col min="2" max="2" width="14.42578125" bestFit="1" customWidth="1"/>
    <col min="3" max="3" width="20" bestFit="1" customWidth="1"/>
    <col min="4" max="4" width="13.5703125" bestFit="1" customWidth="1"/>
    <col min="5" max="6" width="13.7109375" bestFit="1" customWidth="1"/>
    <col min="7" max="7" width="13.7109375" customWidth="1"/>
    <col min="8" max="8" width="18" bestFit="1" customWidth="1"/>
    <col min="9" max="9" width="15.42578125" bestFit="1" customWidth="1"/>
    <col min="10" max="10" width="10.5703125" bestFit="1" customWidth="1"/>
    <col min="11" max="11" width="11.28515625" bestFit="1" customWidth="1"/>
    <col min="12" max="12" width="8.28515625" bestFit="1" customWidth="1"/>
    <col min="13" max="13" width="9.7109375" bestFit="1" customWidth="1"/>
    <col min="14" max="14" width="12" bestFit="1" customWidth="1"/>
  </cols>
  <sheetData>
    <row r="1" spans="1:14" x14ac:dyDescent="0.25">
      <c r="A1" s="78" t="s">
        <v>85</v>
      </c>
      <c r="B1" s="89" t="s">
        <v>14</v>
      </c>
      <c r="C1" s="89" t="s">
        <v>86</v>
      </c>
      <c r="D1" s="16" t="s">
        <v>87</v>
      </c>
      <c r="E1" s="16" t="s">
        <v>88</v>
      </c>
      <c r="F1" s="16" t="s">
        <v>89</v>
      </c>
      <c r="G1" s="16" t="s">
        <v>277</v>
      </c>
      <c r="H1" s="16" t="s">
        <v>90</v>
      </c>
      <c r="I1" s="16" t="s">
        <v>49</v>
      </c>
      <c r="J1" s="89" t="s">
        <v>91</v>
      </c>
      <c r="K1" s="89" t="s">
        <v>92</v>
      </c>
      <c r="L1" s="89" t="s">
        <v>93</v>
      </c>
      <c r="M1" s="89" t="s">
        <v>94</v>
      </c>
      <c r="N1" s="17" t="s">
        <v>95</v>
      </c>
    </row>
    <row r="2" spans="1:14" x14ac:dyDescent="0.25">
      <c r="A2" s="22">
        <v>1</v>
      </c>
      <c r="B2" s="23">
        <v>7420</v>
      </c>
      <c r="C2" s="80">
        <v>44713</v>
      </c>
      <c r="D2" s="88">
        <v>2.0833333333333333E-3</v>
      </c>
      <c r="E2" s="73">
        <v>44713</v>
      </c>
      <c r="F2" s="88">
        <v>1.1111111111111112E-2</v>
      </c>
      <c r="G2" s="88">
        <f>F2-D2</f>
        <v>9.0277777777777787E-3</v>
      </c>
      <c r="H2" s="23" t="s">
        <v>96</v>
      </c>
      <c r="I2" s="23">
        <v>93</v>
      </c>
      <c r="J2" s="23">
        <v>150</v>
      </c>
      <c r="K2" s="23">
        <v>0</v>
      </c>
      <c r="L2" s="23">
        <v>30</v>
      </c>
      <c r="M2" s="23">
        <v>120</v>
      </c>
      <c r="N2" s="24">
        <v>3.5554637033424998</v>
      </c>
    </row>
    <row r="3" spans="1:14" x14ac:dyDescent="0.25">
      <c r="A3" s="22">
        <v>2</v>
      </c>
      <c r="B3" s="23">
        <v>1895</v>
      </c>
      <c r="C3" s="80">
        <v>44713</v>
      </c>
      <c r="D3" s="88">
        <v>2.7777777777777779E-3</v>
      </c>
      <c r="E3" s="73">
        <v>44713</v>
      </c>
      <c r="F3" s="88">
        <v>1.2499999999999999E-2</v>
      </c>
      <c r="G3" s="88">
        <f t="shared" ref="G3:G11" si="0">F3-D3</f>
        <v>9.7222222222222206E-3</v>
      </c>
      <c r="H3" s="23" t="s">
        <v>97</v>
      </c>
      <c r="I3" s="23">
        <v>138</v>
      </c>
      <c r="J3" s="23">
        <v>9</v>
      </c>
      <c r="K3" s="23">
        <v>5</v>
      </c>
      <c r="L3" s="23">
        <v>0</v>
      </c>
      <c r="M3" s="23">
        <v>14</v>
      </c>
      <c r="N3" s="24">
        <v>5</v>
      </c>
    </row>
    <row r="4" spans="1:14" x14ac:dyDescent="0.25">
      <c r="A4" s="22">
        <v>3</v>
      </c>
      <c r="B4" s="23">
        <v>6651</v>
      </c>
      <c r="C4" s="80">
        <v>44713</v>
      </c>
      <c r="D4" s="88">
        <v>3.472222222222222E-3</v>
      </c>
      <c r="E4" s="73">
        <v>44713</v>
      </c>
      <c r="F4" s="88">
        <v>1.3888888888888888E-2</v>
      </c>
      <c r="G4" s="88">
        <f t="shared" si="0"/>
        <v>1.0416666666666666E-2</v>
      </c>
      <c r="H4" s="23" t="s">
        <v>98</v>
      </c>
      <c r="I4" s="23">
        <v>187</v>
      </c>
      <c r="J4" s="23">
        <v>117</v>
      </c>
      <c r="K4" s="23">
        <v>0</v>
      </c>
      <c r="L4" s="23">
        <v>23.4</v>
      </c>
      <c r="M4" s="23">
        <v>93.6</v>
      </c>
      <c r="N4" s="24">
        <v>3.3934888786170099</v>
      </c>
    </row>
    <row r="5" spans="1:14" x14ac:dyDescent="0.25">
      <c r="A5" s="22">
        <v>4</v>
      </c>
      <c r="B5" s="23">
        <v>9032</v>
      </c>
      <c r="C5" s="80">
        <v>44713</v>
      </c>
      <c r="D5" s="88">
        <v>3.472222222222222E-3</v>
      </c>
      <c r="E5" s="73">
        <v>44713</v>
      </c>
      <c r="F5" s="88">
        <v>1.6666666666666666E-2</v>
      </c>
      <c r="G5" s="88">
        <f t="shared" si="0"/>
        <v>1.3194444444444444E-2</v>
      </c>
      <c r="H5" s="23" t="s">
        <v>99</v>
      </c>
      <c r="I5" s="23">
        <v>10</v>
      </c>
      <c r="J5" s="23">
        <v>105</v>
      </c>
      <c r="K5" s="23">
        <v>0</v>
      </c>
      <c r="L5" s="23">
        <v>21</v>
      </c>
      <c r="M5" s="23">
        <v>84</v>
      </c>
      <c r="N5" s="24">
        <v>5</v>
      </c>
    </row>
    <row r="6" spans="1:14" x14ac:dyDescent="0.25">
      <c r="A6" s="22">
        <v>5</v>
      </c>
      <c r="B6" s="23">
        <v>2479</v>
      </c>
      <c r="C6" s="80">
        <v>44713</v>
      </c>
      <c r="D6" s="88">
        <v>4.1666666666666666E-3</v>
      </c>
      <c r="E6" s="73">
        <v>44713</v>
      </c>
      <c r="F6" s="88">
        <v>2.361111111111111E-2</v>
      </c>
      <c r="G6" s="88">
        <f t="shared" si="0"/>
        <v>1.9444444444444445E-2</v>
      </c>
      <c r="H6" s="23" t="s">
        <v>100</v>
      </c>
      <c r="I6" s="23">
        <v>219</v>
      </c>
      <c r="J6" s="23">
        <v>27</v>
      </c>
      <c r="K6" s="23">
        <v>2.5</v>
      </c>
      <c r="L6" s="23">
        <v>5.4</v>
      </c>
      <c r="M6" s="23">
        <v>24.1</v>
      </c>
      <c r="N6" s="24">
        <v>3.7930482971558601</v>
      </c>
    </row>
    <row r="7" spans="1:14" x14ac:dyDescent="0.25">
      <c r="A7" s="22">
        <v>6</v>
      </c>
      <c r="B7" s="23">
        <v>6040</v>
      </c>
      <c r="C7" s="80">
        <v>44713</v>
      </c>
      <c r="D7" s="88">
        <v>1.1111111111111112E-2</v>
      </c>
      <c r="E7" s="73">
        <v>44713</v>
      </c>
      <c r="F7" s="88">
        <v>2.5694444444444447E-2</v>
      </c>
      <c r="G7" s="88">
        <f t="shared" si="0"/>
        <v>1.4583333333333335E-2</v>
      </c>
      <c r="H7" s="23" t="s">
        <v>101</v>
      </c>
      <c r="I7" s="23">
        <v>165</v>
      </c>
      <c r="J7" s="23">
        <v>9</v>
      </c>
      <c r="K7" s="23">
        <v>5</v>
      </c>
      <c r="L7" s="23">
        <v>0</v>
      </c>
      <c r="M7" s="23">
        <v>14</v>
      </c>
      <c r="N7" s="24">
        <v>4.4611404056221797</v>
      </c>
    </row>
    <row r="8" spans="1:14" x14ac:dyDescent="0.25">
      <c r="A8" s="22">
        <v>7</v>
      </c>
      <c r="B8" s="23">
        <v>2977</v>
      </c>
      <c r="C8" s="80">
        <v>44713</v>
      </c>
      <c r="D8" s="88">
        <v>1.1805555555555555E-2</v>
      </c>
      <c r="E8" s="73">
        <v>44713</v>
      </c>
      <c r="F8" s="88">
        <v>2.9861111111111113E-2</v>
      </c>
      <c r="G8" s="88">
        <f t="shared" si="0"/>
        <v>1.8055555555555557E-2</v>
      </c>
      <c r="H8" s="23" t="s">
        <v>102</v>
      </c>
      <c r="I8" s="23">
        <v>142</v>
      </c>
      <c r="J8" s="23">
        <v>27</v>
      </c>
      <c r="K8" s="23">
        <v>2.5</v>
      </c>
      <c r="L8" s="23">
        <v>5.4</v>
      </c>
      <c r="M8" s="23">
        <v>24.1</v>
      </c>
      <c r="N8" s="24">
        <v>5</v>
      </c>
    </row>
    <row r="9" spans="1:14" x14ac:dyDescent="0.25">
      <c r="A9" s="22">
        <v>8</v>
      </c>
      <c r="B9" s="23">
        <v>2837</v>
      </c>
      <c r="C9" s="80">
        <v>44713</v>
      </c>
      <c r="D9" s="88">
        <v>1.5277777777777777E-2</v>
      </c>
      <c r="E9" s="73">
        <v>44713</v>
      </c>
      <c r="F9" s="88">
        <v>3.0555555555555555E-2</v>
      </c>
      <c r="G9" s="88">
        <f t="shared" si="0"/>
        <v>1.5277777777777777E-2</v>
      </c>
      <c r="H9" s="23" t="s">
        <v>103</v>
      </c>
      <c r="I9" s="23">
        <v>199</v>
      </c>
      <c r="J9" s="23">
        <v>16</v>
      </c>
      <c r="K9" s="23">
        <v>5</v>
      </c>
      <c r="L9" s="23">
        <v>0</v>
      </c>
      <c r="M9" s="23">
        <v>21</v>
      </c>
      <c r="N9" s="24">
        <v>5</v>
      </c>
    </row>
    <row r="10" spans="1:14" x14ac:dyDescent="0.25">
      <c r="A10" s="22">
        <v>9</v>
      </c>
      <c r="B10" s="23">
        <v>7433</v>
      </c>
      <c r="C10" s="80">
        <v>44713</v>
      </c>
      <c r="D10" s="88">
        <v>2.4999999999999998E-2</v>
      </c>
      <c r="E10" s="73">
        <v>44713</v>
      </c>
      <c r="F10" s="88">
        <v>3.3333333333333333E-2</v>
      </c>
      <c r="G10" s="88">
        <f t="shared" si="0"/>
        <v>8.333333333333335E-3</v>
      </c>
      <c r="H10" s="23" t="s">
        <v>104</v>
      </c>
      <c r="I10" s="23">
        <v>26</v>
      </c>
      <c r="J10" s="23">
        <v>28</v>
      </c>
      <c r="K10" s="23">
        <v>2.5</v>
      </c>
      <c r="L10" s="23">
        <v>2.8</v>
      </c>
      <c r="M10" s="23">
        <v>27.7</v>
      </c>
      <c r="N10" s="24">
        <v>4.5035400500373397</v>
      </c>
    </row>
    <row r="11" spans="1:14" ht="15.75" thickBot="1" x14ac:dyDescent="0.3">
      <c r="A11" s="25">
        <v>10</v>
      </c>
      <c r="B11" s="26">
        <v>3336</v>
      </c>
      <c r="C11" s="90">
        <v>44713</v>
      </c>
      <c r="D11" s="91">
        <v>2.7777777777777776E-2</v>
      </c>
      <c r="E11" s="74">
        <v>44713</v>
      </c>
      <c r="F11" s="91">
        <v>4.1666666666666664E-2</v>
      </c>
      <c r="G11" s="91">
        <f t="shared" si="0"/>
        <v>1.3888888888888888E-2</v>
      </c>
      <c r="H11" s="26" t="s">
        <v>105</v>
      </c>
      <c r="I11" s="26">
        <v>143</v>
      </c>
      <c r="J11" s="26">
        <v>16</v>
      </c>
      <c r="K11" s="26">
        <v>5</v>
      </c>
      <c r="L11" s="26">
        <v>1.6</v>
      </c>
      <c r="M11" s="26">
        <v>19.399999999999999</v>
      </c>
      <c r="N11" s="27">
        <v>2.9924665514366202</v>
      </c>
    </row>
    <row r="13" spans="1:14" ht="15.75" thickBot="1" x14ac:dyDescent="0.3">
      <c r="B13" s="95" t="s">
        <v>150</v>
      </c>
      <c r="C13" s="95"/>
      <c r="D13" s="15" t="s">
        <v>153</v>
      </c>
    </row>
    <row r="14" spans="1:14" x14ac:dyDescent="0.25">
      <c r="B14" s="5" t="s">
        <v>139</v>
      </c>
      <c r="C14" s="5" t="s">
        <v>14</v>
      </c>
      <c r="D14" s="15" t="s">
        <v>151</v>
      </c>
      <c r="H14" s="86" t="s">
        <v>86</v>
      </c>
      <c r="I14" s="76" t="s">
        <v>88</v>
      </c>
      <c r="J14" s="17" t="s">
        <v>284</v>
      </c>
    </row>
    <row r="15" spans="1:14" ht="15.75" thickBot="1" x14ac:dyDescent="0.3">
      <c r="B15" s="5" t="s">
        <v>140</v>
      </c>
      <c r="C15" s="5" t="s">
        <v>94</v>
      </c>
      <c r="D15" s="15" t="s">
        <v>151</v>
      </c>
      <c r="H15" s="84">
        <v>44713.002083333333</v>
      </c>
      <c r="I15" s="85">
        <v>44713.011111111111</v>
      </c>
      <c r="J15" s="87">
        <f>MIN(I15-H15)</f>
        <v>9.0277777781011537E-3</v>
      </c>
    </row>
    <row r="16" spans="1:14" x14ac:dyDescent="0.25">
      <c r="B16" s="5" t="s">
        <v>141</v>
      </c>
      <c r="C16" s="5" t="s">
        <v>106</v>
      </c>
      <c r="D16" s="15" t="s">
        <v>12</v>
      </c>
    </row>
    <row r="17" spans="2:4" x14ac:dyDescent="0.25">
      <c r="B17" s="5" t="s">
        <v>142</v>
      </c>
      <c r="C17" s="5" t="s">
        <v>85</v>
      </c>
      <c r="D17" s="15" t="s">
        <v>12</v>
      </c>
    </row>
    <row r="18" spans="2:4" x14ac:dyDescent="0.25">
      <c r="B18" s="5" t="s">
        <v>143</v>
      </c>
      <c r="C18" s="5" t="s">
        <v>154</v>
      </c>
      <c r="D18" s="15" t="s">
        <v>152</v>
      </c>
    </row>
    <row r="19" spans="2:4" x14ac:dyDescent="0.25">
      <c r="B19" s="5" t="s">
        <v>144</v>
      </c>
      <c r="C19" s="5" t="s">
        <v>145</v>
      </c>
      <c r="D19" s="15" t="s">
        <v>152</v>
      </c>
    </row>
    <row r="20" spans="2:4" x14ac:dyDescent="0.25">
      <c r="B20" s="5" t="s">
        <v>146</v>
      </c>
      <c r="C20" s="5" t="s">
        <v>147</v>
      </c>
      <c r="D20" s="15" t="s">
        <v>152</v>
      </c>
    </row>
    <row r="21" spans="2:4" x14ac:dyDescent="0.25">
      <c r="B21" s="5" t="s">
        <v>148</v>
      </c>
      <c r="C21" s="5" t="s">
        <v>156</v>
      </c>
      <c r="D21" s="15" t="s">
        <v>152</v>
      </c>
    </row>
    <row r="22" spans="2:4" x14ac:dyDescent="0.25">
      <c r="B22" s="5" t="s">
        <v>149</v>
      </c>
      <c r="C22" s="5" t="s">
        <v>155</v>
      </c>
      <c r="D22" s="15" t="s">
        <v>152</v>
      </c>
    </row>
  </sheetData>
  <mergeCells count="1">
    <mergeCell ref="B13:C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2C70-1192-481E-A231-1D71B900166C}">
  <dimension ref="A1:C11"/>
  <sheetViews>
    <sheetView workbookViewId="0">
      <selection activeCell="D7" sqref="D7"/>
    </sheetView>
  </sheetViews>
  <sheetFormatPr defaultRowHeight="15" x14ac:dyDescent="0.25"/>
  <sheetData>
    <row r="1" spans="1:3" x14ac:dyDescent="0.25">
      <c r="A1" s="75" t="s">
        <v>85</v>
      </c>
      <c r="B1" s="76" t="s">
        <v>62</v>
      </c>
      <c r="C1" s="77" t="s">
        <v>106</v>
      </c>
    </row>
    <row r="2" spans="1:3" x14ac:dyDescent="0.25">
      <c r="A2" s="22">
        <v>1</v>
      </c>
      <c r="B2" s="23">
        <v>176</v>
      </c>
      <c r="C2" s="24">
        <v>3</v>
      </c>
    </row>
    <row r="3" spans="1:3" x14ac:dyDescent="0.25">
      <c r="A3" s="22">
        <v>2</v>
      </c>
      <c r="B3" s="23">
        <v>108</v>
      </c>
      <c r="C3" s="24">
        <v>1</v>
      </c>
    </row>
    <row r="4" spans="1:3" x14ac:dyDescent="0.25">
      <c r="A4" s="22">
        <v>3</v>
      </c>
      <c r="B4" s="23">
        <v>339</v>
      </c>
      <c r="C4" s="24">
        <v>3</v>
      </c>
    </row>
    <row r="5" spans="1:3" x14ac:dyDescent="0.25">
      <c r="A5" s="22">
        <v>4</v>
      </c>
      <c r="B5" s="23">
        <v>380</v>
      </c>
      <c r="C5" s="24">
        <v>1</v>
      </c>
    </row>
    <row r="6" spans="1:3" x14ac:dyDescent="0.25">
      <c r="A6" s="22">
        <v>4</v>
      </c>
      <c r="B6" s="23">
        <v>108</v>
      </c>
      <c r="C6" s="24">
        <v>1</v>
      </c>
    </row>
    <row r="7" spans="1:3" x14ac:dyDescent="0.25">
      <c r="A7" s="22">
        <v>4</v>
      </c>
      <c r="B7" s="23">
        <v>299</v>
      </c>
      <c r="C7" s="24">
        <v>1</v>
      </c>
    </row>
    <row r="8" spans="1:3" x14ac:dyDescent="0.25">
      <c r="A8" s="22">
        <v>5</v>
      </c>
      <c r="B8" s="23">
        <v>321</v>
      </c>
      <c r="C8" s="24">
        <v>3</v>
      </c>
    </row>
    <row r="9" spans="1:3" x14ac:dyDescent="0.25">
      <c r="A9" s="22">
        <v>6</v>
      </c>
      <c r="B9" s="23">
        <v>216</v>
      </c>
      <c r="C9" s="24">
        <v>1</v>
      </c>
    </row>
    <row r="10" spans="1:3" x14ac:dyDescent="0.25">
      <c r="A10" s="22">
        <v>7</v>
      </c>
      <c r="B10" s="23">
        <v>377</v>
      </c>
      <c r="C10" s="24">
        <v>1</v>
      </c>
    </row>
    <row r="11" spans="1:3" ht="15.75" thickBot="1" x14ac:dyDescent="0.3">
      <c r="A11" s="25">
        <v>7</v>
      </c>
      <c r="B11" s="26">
        <v>274</v>
      </c>
      <c r="C11" s="2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BDA6-8B0E-46F4-A84A-8B90E3860368}">
  <dimension ref="A1:D12"/>
  <sheetViews>
    <sheetView workbookViewId="0">
      <selection activeCell="D1" sqref="A1:D1"/>
    </sheetView>
  </sheetViews>
  <sheetFormatPr defaultRowHeight="15" x14ac:dyDescent="0.25"/>
  <cols>
    <col min="1" max="1" width="12.28515625" bestFit="1" customWidth="1"/>
    <col min="2" max="2" width="18.85546875" bestFit="1" customWidth="1"/>
    <col min="3" max="3" width="7.28515625" bestFit="1" customWidth="1"/>
    <col min="4" max="4" width="13.42578125" bestFit="1" customWidth="1"/>
  </cols>
  <sheetData>
    <row r="1" spans="1:4" x14ac:dyDescent="0.25">
      <c r="A1" s="75" t="s">
        <v>63</v>
      </c>
      <c r="B1" s="76" t="s">
        <v>107</v>
      </c>
      <c r="C1" s="76" t="s">
        <v>108</v>
      </c>
      <c r="D1" s="77" t="s">
        <v>18</v>
      </c>
    </row>
    <row r="2" spans="1:4" x14ac:dyDescent="0.25">
      <c r="A2" s="22">
        <v>1</v>
      </c>
      <c r="B2" s="23" t="s">
        <v>109</v>
      </c>
      <c r="C2" s="23" t="s">
        <v>110</v>
      </c>
      <c r="D2" s="24" t="s">
        <v>111</v>
      </c>
    </row>
    <row r="3" spans="1:4" x14ac:dyDescent="0.25">
      <c r="A3" s="22">
        <v>2</v>
      </c>
      <c r="B3" s="23" t="s">
        <v>112</v>
      </c>
      <c r="C3" s="23" t="s">
        <v>113</v>
      </c>
      <c r="D3" s="24" t="s">
        <v>114</v>
      </c>
    </row>
    <row r="4" spans="1:4" x14ac:dyDescent="0.25">
      <c r="A4" s="22">
        <v>3</v>
      </c>
      <c r="B4" s="23" t="s">
        <v>115</v>
      </c>
      <c r="C4" s="23" t="s">
        <v>113</v>
      </c>
      <c r="D4" s="24" t="s">
        <v>116</v>
      </c>
    </row>
    <row r="5" spans="1:4" x14ac:dyDescent="0.25">
      <c r="A5" s="22">
        <v>4</v>
      </c>
      <c r="B5" s="23" t="s">
        <v>117</v>
      </c>
      <c r="C5" s="23" t="s">
        <v>118</v>
      </c>
      <c r="D5" s="24" t="s">
        <v>119</v>
      </c>
    </row>
    <row r="6" spans="1:4" x14ac:dyDescent="0.25">
      <c r="A6" s="22">
        <v>5</v>
      </c>
      <c r="B6" s="23" t="s">
        <v>120</v>
      </c>
      <c r="C6" s="23" t="s">
        <v>113</v>
      </c>
      <c r="D6" s="24" t="s">
        <v>121</v>
      </c>
    </row>
    <row r="7" spans="1:4" x14ac:dyDescent="0.25">
      <c r="A7" s="22">
        <v>6</v>
      </c>
      <c r="B7" s="23" t="s">
        <v>122</v>
      </c>
      <c r="C7" s="23" t="s">
        <v>118</v>
      </c>
      <c r="D7" s="24" t="s">
        <v>123</v>
      </c>
    </row>
    <row r="8" spans="1:4" x14ac:dyDescent="0.25">
      <c r="A8" s="22">
        <v>7</v>
      </c>
      <c r="B8" s="23" t="s">
        <v>124</v>
      </c>
      <c r="C8" s="23" t="s">
        <v>113</v>
      </c>
      <c r="D8" s="24" t="s">
        <v>125</v>
      </c>
    </row>
    <row r="9" spans="1:4" x14ac:dyDescent="0.25">
      <c r="A9" s="22">
        <v>8</v>
      </c>
      <c r="B9" s="23" t="s">
        <v>126</v>
      </c>
      <c r="C9" s="23" t="s">
        <v>118</v>
      </c>
      <c r="D9" s="24" t="s">
        <v>127</v>
      </c>
    </row>
    <row r="10" spans="1:4" x14ac:dyDescent="0.25">
      <c r="A10" s="22">
        <v>9</v>
      </c>
      <c r="B10" s="23" t="s">
        <v>128</v>
      </c>
      <c r="C10" s="23" t="s">
        <v>110</v>
      </c>
      <c r="D10" s="24" t="s">
        <v>129</v>
      </c>
    </row>
    <row r="11" spans="1:4" ht="15.75" thickBot="1" x14ac:dyDescent="0.3">
      <c r="A11" s="25">
        <v>10</v>
      </c>
      <c r="B11" s="26" t="s">
        <v>130</v>
      </c>
      <c r="C11" s="26" t="s">
        <v>118</v>
      </c>
      <c r="D11" s="27" t="s">
        <v>131</v>
      </c>
    </row>
    <row r="12" spans="1:4" x14ac:dyDescent="0.25">
      <c r="A12" s="4"/>
      <c r="B12" s="4"/>
      <c r="C12" s="4"/>
      <c r="D12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58B1-38F7-480A-8A37-97446DC21A28}">
  <dimension ref="B1:X357"/>
  <sheetViews>
    <sheetView workbookViewId="0">
      <selection activeCell="L9" sqref="L9:L11"/>
    </sheetView>
  </sheetViews>
  <sheetFormatPr defaultRowHeight="15" x14ac:dyDescent="0.25"/>
  <cols>
    <col min="3" max="3" width="11.28515625" bestFit="1" customWidth="1"/>
    <col min="6" max="6" width="9.85546875" bestFit="1" customWidth="1"/>
    <col min="7" max="7" width="11.42578125" bestFit="1" customWidth="1"/>
    <col min="8" max="8" width="11.28515625" bestFit="1" customWidth="1"/>
    <col min="9" max="9" width="10" bestFit="1" customWidth="1"/>
    <col min="10" max="10" width="9.85546875" bestFit="1" customWidth="1"/>
    <col min="20" max="20" width="17.28515625" customWidth="1"/>
    <col min="21" max="21" width="19.5703125" customWidth="1"/>
  </cols>
  <sheetData>
    <row r="1" spans="2:24" ht="15.75" thickBot="1" x14ac:dyDescent="0.3"/>
    <row r="2" spans="2:24" ht="15.75" thickBot="1" x14ac:dyDescent="0.3">
      <c r="F2" s="97" t="s">
        <v>281</v>
      </c>
      <c r="G2" s="98"/>
      <c r="H2" s="98"/>
      <c r="I2" s="98"/>
      <c r="J2" s="98"/>
      <c r="K2" s="98"/>
      <c r="L2" s="98"/>
      <c r="M2" s="98"/>
      <c r="N2" s="98"/>
      <c r="O2" s="99"/>
    </row>
    <row r="3" spans="2:24" ht="15.75" thickBot="1" x14ac:dyDescent="0.3">
      <c r="B3" s="37" t="s">
        <v>136</v>
      </c>
      <c r="C3" s="38" t="s">
        <v>137</v>
      </c>
      <c r="D3" s="39" t="s">
        <v>138</v>
      </c>
      <c r="F3" s="51" t="s">
        <v>136</v>
      </c>
      <c r="G3" s="52" t="s">
        <v>8</v>
      </c>
      <c r="H3" s="52" t="s">
        <v>137</v>
      </c>
      <c r="I3" s="52" t="s">
        <v>157</v>
      </c>
      <c r="J3" s="52" t="s">
        <v>141</v>
      </c>
      <c r="K3" s="53" t="s">
        <v>143</v>
      </c>
      <c r="L3" s="53" t="s">
        <v>144</v>
      </c>
      <c r="M3" s="52" t="s">
        <v>149</v>
      </c>
      <c r="N3" s="53" t="s">
        <v>148</v>
      </c>
      <c r="O3" s="54" t="s">
        <v>146</v>
      </c>
    </row>
    <row r="4" spans="2:24" ht="18.75" x14ac:dyDescent="0.3">
      <c r="B4" s="47">
        <v>6</v>
      </c>
      <c r="C4" s="48">
        <v>347577.50000000099</v>
      </c>
      <c r="D4" s="56"/>
      <c r="F4" s="47">
        <v>6</v>
      </c>
      <c r="G4" s="48">
        <v>7171</v>
      </c>
      <c r="H4" s="48">
        <f>C4</f>
        <v>347577.50000000099</v>
      </c>
      <c r="I4" s="48">
        <v>12502</v>
      </c>
      <c r="J4" s="48">
        <v>25039</v>
      </c>
      <c r="K4" s="48">
        <f>H4/I4</f>
        <v>27.801751719724923</v>
      </c>
      <c r="L4" s="48">
        <f>H4/G4</f>
        <v>48.469878678008783</v>
      </c>
      <c r="M4" s="49">
        <f>J4/I4</f>
        <v>2.0027995520716684</v>
      </c>
      <c r="N4" s="49">
        <f>I4/G4</f>
        <v>1.7434109608143913</v>
      </c>
      <c r="O4" s="50">
        <f>H4/J4</f>
        <v>13.881444945884461</v>
      </c>
      <c r="S4" s="96" t="s">
        <v>241</v>
      </c>
      <c r="T4" s="96"/>
      <c r="U4" s="96"/>
    </row>
    <row r="5" spans="2:24" x14ac:dyDescent="0.25">
      <c r="B5" s="6">
        <v>7</v>
      </c>
      <c r="C5" s="12">
        <v>308601.5</v>
      </c>
      <c r="D5" s="29">
        <f>C5/C4-1</f>
        <v>-0.11213614229920199</v>
      </c>
      <c r="E5" s="2"/>
      <c r="F5" s="6">
        <v>7</v>
      </c>
      <c r="G5" s="12">
        <v>6721</v>
      </c>
      <c r="H5" s="12">
        <f t="shared" ref="H5:H7" si="0">C5</f>
        <v>308601.5</v>
      </c>
      <c r="I5" s="12">
        <v>11144</v>
      </c>
      <c r="J5" s="12">
        <v>22331</v>
      </c>
      <c r="K5" s="12">
        <f t="shared" ref="K5:K7" si="1">H5/I5</f>
        <v>27.692166188083274</v>
      </c>
      <c r="L5" s="12">
        <f t="shared" ref="L5:L7" si="2">H5/G5</f>
        <v>45.9160095223925</v>
      </c>
      <c r="M5" s="41">
        <f t="shared" ref="M5:M7" si="3">J5/I5</f>
        <v>2.0038585786073222</v>
      </c>
      <c r="N5" s="41">
        <f t="shared" ref="N5:N7" si="4">I5/G5</f>
        <v>1.658086594256807</v>
      </c>
      <c r="O5" s="44">
        <f t="shared" ref="O5:O7" si="5">H5/J5</f>
        <v>13.81942143208992</v>
      </c>
      <c r="R5" s="18"/>
      <c r="S5" s="13" t="s">
        <v>136</v>
      </c>
      <c r="T5" s="13" t="s">
        <v>107</v>
      </c>
      <c r="U5" s="13" t="s">
        <v>137</v>
      </c>
      <c r="X5" t="s">
        <v>242</v>
      </c>
    </row>
    <row r="6" spans="2:24" x14ac:dyDescent="0.25">
      <c r="B6" s="6">
        <v>8</v>
      </c>
      <c r="C6" s="12">
        <v>283365.90000000101</v>
      </c>
      <c r="D6" s="29">
        <f t="shared" ref="D6:D7" si="6">C6/C5-1</f>
        <v>-8.1774067851254739E-2</v>
      </c>
      <c r="F6" s="6">
        <v>8</v>
      </c>
      <c r="G6" s="12">
        <v>6399</v>
      </c>
      <c r="H6" s="12">
        <f t="shared" si="0"/>
        <v>283365.90000000101</v>
      </c>
      <c r="I6" s="12">
        <v>10107</v>
      </c>
      <c r="J6" s="12">
        <v>20229</v>
      </c>
      <c r="K6" s="12">
        <f t="shared" si="1"/>
        <v>28.036598397150591</v>
      </c>
      <c r="L6" s="12">
        <f t="shared" si="2"/>
        <v>44.282841068917179</v>
      </c>
      <c r="M6" s="41">
        <f t="shared" si="3"/>
        <v>2.0014841199168893</v>
      </c>
      <c r="N6" s="41">
        <f t="shared" si="4"/>
        <v>1.579465541490858</v>
      </c>
      <c r="O6" s="44">
        <f t="shared" si="5"/>
        <v>14.007904493548915</v>
      </c>
      <c r="R6" s="19"/>
      <c r="S6" s="23" t="s">
        <v>158</v>
      </c>
      <c r="T6" s="23" t="s">
        <v>159</v>
      </c>
      <c r="U6" s="23">
        <v>20496.199999999899</v>
      </c>
    </row>
    <row r="7" spans="2:24" ht="15.75" thickBot="1" x14ac:dyDescent="0.3">
      <c r="B7" s="6">
        <v>9</v>
      </c>
      <c r="C7" s="12">
        <v>258161.09999999899</v>
      </c>
      <c r="D7" s="29">
        <f t="shared" si="6"/>
        <v>-8.8947893871499484E-2</v>
      </c>
      <c r="F7" s="8">
        <v>9</v>
      </c>
      <c r="G7" s="32">
        <v>6100</v>
      </c>
      <c r="H7" s="32">
        <f t="shared" si="0"/>
        <v>258161.09999999899</v>
      </c>
      <c r="I7" s="32">
        <v>9365</v>
      </c>
      <c r="J7" s="32">
        <v>18717</v>
      </c>
      <c r="K7" s="32">
        <f t="shared" si="1"/>
        <v>27.566588360918203</v>
      </c>
      <c r="L7" s="32">
        <f t="shared" si="2"/>
        <v>42.321491803278519</v>
      </c>
      <c r="M7" s="45">
        <f t="shared" si="3"/>
        <v>1.9986118526428189</v>
      </c>
      <c r="N7" s="45">
        <f t="shared" si="4"/>
        <v>1.5352459016393443</v>
      </c>
      <c r="O7" s="46">
        <f t="shared" si="5"/>
        <v>13.792867446706149</v>
      </c>
      <c r="R7" s="19"/>
      <c r="S7" s="23" t="s">
        <v>158</v>
      </c>
      <c r="T7" s="23" t="s">
        <v>160</v>
      </c>
      <c r="U7" s="23">
        <v>18931.3</v>
      </c>
    </row>
    <row r="8" spans="2:24" ht="15.75" thickBot="1" x14ac:dyDescent="0.3">
      <c r="B8" s="57" t="s">
        <v>280</v>
      </c>
      <c r="C8" s="58">
        <f>SUM(C4:C7)</f>
        <v>1197706.0000000009</v>
      </c>
      <c r="D8" s="59"/>
      <c r="F8" s="3"/>
      <c r="G8" s="3"/>
      <c r="H8" s="40"/>
      <c r="I8" s="3"/>
      <c r="J8" s="3"/>
      <c r="K8" s="3"/>
      <c r="L8" s="3"/>
      <c r="M8" s="3"/>
      <c r="N8" s="3"/>
      <c r="O8" s="3"/>
      <c r="R8" s="19"/>
      <c r="S8" s="23" t="s">
        <v>158</v>
      </c>
      <c r="T8" s="23" t="s">
        <v>161</v>
      </c>
      <c r="U8" s="23">
        <v>16349.799999999899</v>
      </c>
    </row>
    <row r="9" spans="2:24" ht="15.75" thickBot="1" x14ac:dyDescent="0.3">
      <c r="F9" s="37" t="str">
        <f>F3</f>
        <v>month</v>
      </c>
      <c r="G9" s="38" t="str">
        <f t="shared" ref="G9:O9" si="7">G3</f>
        <v>customers</v>
      </c>
      <c r="H9" s="38" t="str">
        <f t="shared" si="7"/>
        <v>revenue</v>
      </c>
      <c r="I9" s="38" t="str">
        <f t="shared" si="7"/>
        <v>invoices</v>
      </c>
      <c r="J9" s="38" t="str">
        <f t="shared" si="7"/>
        <v>units</v>
      </c>
      <c r="K9" s="38" t="str">
        <f t="shared" si="7"/>
        <v>ATV</v>
      </c>
      <c r="L9" s="38" t="str">
        <f t="shared" si="7"/>
        <v>AMS</v>
      </c>
      <c r="M9" s="38" t="str">
        <f t="shared" si="7"/>
        <v>UPT</v>
      </c>
      <c r="N9" s="38" t="str">
        <f t="shared" si="7"/>
        <v>FREQ</v>
      </c>
      <c r="O9" s="39" t="str">
        <f t="shared" si="7"/>
        <v>ASP</v>
      </c>
      <c r="R9" s="19"/>
      <c r="S9" s="23" t="s">
        <v>158</v>
      </c>
      <c r="T9" s="23" t="s">
        <v>162</v>
      </c>
      <c r="U9" s="23">
        <v>15047.699999999901</v>
      </c>
    </row>
    <row r="10" spans="2:24" x14ac:dyDescent="0.25">
      <c r="F10" s="47">
        <f t="shared" ref="F10:F13" si="8">F4</f>
        <v>6</v>
      </c>
      <c r="G10" s="55" t="s">
        <v>271</v>
      </c>
      <c r="H10" s="55" t="s">
        <v>271</v>
      </c>
      <c r="I10" s="55" t="s">
        <v>271</v>
      </c>
      <c r="J10" s="55" t="s">
        <v>271</v>
      </c>
      <c r="K10" s="55" t="s">
        <v>271</v>
      </c>
      <c r="L10" s="55" t="s">
        <v>271</v>
      </c>
      <c r="M10" s="55" t="s">
        <v>271</v>
      </c>
      <c r="N10" s="55" t="s">
        <v>271</v>
      </c>
      <c r="O10" s="56" t="s">
        <v>271</v>
      </c>
      <c r="R10" s="19"/>
      <c r="S10" s="23" t="s">
        <v>158</v>
      </c>
      <c r="T10" s="23" t="s">
        <v>163</v>
      </c>
      <c r="U10" s="23">
        <v>14853.9</v>
      </c>
    </row>
    <row r="11" spans="2:24" x14ac:dyDescent="0.25">
      <c r="F11" s="6">
        <f t="shared" si="8"/>
        <v>7</v>
      </c>
      <c r="G11" s="14">
        <f>G5/G4-1</f>
        <v>-6.2752754148654333E-2</v>
      </c>
      <c r="H11" s="14">
        <f t="shared" ref="H11:O11" si="9">H5/H4-1</f>
        <v>-0.11213614229920199</v>
      </c>
      <c r="I11" s="14">
        <f t="shared" si="9"/>
        <v>-0.10862262038073911</v>
      </c>
      <c r="J11" s="14">
        <f t="shared" si="9"/>
        <v>-0.10815128399696472</v>
      </c>
      <c r="K11" s="14">
        <f t="shared" si="9"/>
        <v>-3.9416772276222867E-3</v>
      </c>
      <c r="L11" s="14">
        <f t="shared" si="9"/>
        <v>-5.2689819435735363E-2</v>
      </c>
      <c r="M11" s="14">
        <f t="shared" si="9"/>
        <v>5.2877310390764265E-4</v>
      </c>
      <c r="N11" s="14">
        <f t="shared" si="9"/>
        <v>-4.8941052038428801E-2</v>
      </c>
      <c r="O11" s="29">
        <f t="shared" si="9"/>
        <v>-4.468087726914205E-3</v>
      </c>
      <c r="R11" s="19"/>
      <c r="S11" s="23" t="s">
        <v>158</v>
      </c>
      <c r="T11" s="23" t="s">
        <v>164</v>
      </c>
      <c r="U11" s="23">
        <v>13516.5</v>
      </c>
    </row>
    <row r="12" spans="2:24" x14ac:dyDescent="0.25">
      <c r="F12" s="6">
        <f t="shared" si="8"/>
        <v>8</v>
      </c>
      <c r="G12" s="14">
        <f t="shared" ref="G12:O13" si="10">G6/G5-1</f>
        <v>-4.7909537271239366E-2</v>
      </c>
      <c r="H12" s="14">
        <f t="shared" si="10"/>
        <v>-8.1774067851254739E-2</v>
      </c>
      <c r="I12" s="14">
        <f t="shared" si="10"/>
        <v>-9.3054558506819762E-2</v>
      </c>
      <c r="J12" s="14">
        <f t="shared" si="10"/>
        <v>-9.4129237383010156E-2</v>
      </c>
      <c r="K12" s="14">
        <f t="shared" si="10"/>
        <v>1.2437893327952754E-2</v>
      </c>
      <c r="L12" s="14">
        <f t="shared" si="10"/>
        <v>-3.5568606036612382E-2</v>
      </c>
      <c r="M12" s="14">
        <f t="shared" si="10"/>
        <v>-1.1849432468847843E-3</v>
      </c>
      <c r="N12" s="14">
        <f t="shared" si="10"/>
        <v>-4.7416735071782457E-2</v>
      </c>
      <c r="O12" s="29">
        <f t="shared" si="10"/>
        <v>1.3638998013427717E-2</v>
      </c>
      <c r="R12" s="19"/>
      <c r="S12" s="23" t="s">
        <v>158</v>
      </c>
      <c r="T12" s="23" t="s">
        <v>130</v>
      </c>
      <c r="U12" s="23">
        <v>13490.6</v>
      </c>
    </row>
    <row r="13" spans="2:24" ht="15.75" thickBot="1" x14ac:dyDescent="0.3">
      <c r="F13" s="8">
        <f t="shared" si="8"/>
        <v>9</v>
      </c>
      <c r="G13" s="42">
        <f t="shared" si="10"/>
        <v>-4.6726050945460229E-2</v>
      </c>
      <c r="H13" s="42">
        <f t="shared" si="10"/>
        <v>-8.8947893871499484E-2</v>
      </c>
      <c r="I13" s="42">
        <f t="shared" si="10"/>
        <v>-7.3414465222123249E-2</v>
      </c>
      <c r="J13" s="42">
        <f t="shared" si="10"/>
        <v>-7.474417914874687E-2</v>
      </c>
      <c r="K13" s="42">
        <f t="shared" si="10"/>
        <v>-1.6764160529551098E-2</v>
      </c>
      <c r="L13" s="42">
        <f t="shared" si="10"/>
        <v>-4.4291405390774696E-2</v>
      </c>
      <c r="M13" s="42">
        <f t="shared" si="10"/>
        <v>-1.4350687299931053E-3</v>
      </c>
      <c r="N13" s="42">
        <f t="shared" si="10"/>
        <v>-2.7996584091207755E-2</v>
      </c>
      <c r="O13" s="43">
        <f t="shared" si="10"/>
        <v>-1.5351121714300531E-2</v>
      </c>
      <c r="R13" s="19"/>
      <c r="S13" s="23" t="s">
        <v>158</v>
      </c>
      <c r="T13" s="23" t="s">
        <v>112</v>
      </c>
      <c r="U13" s="23">
        <v>12747.6</v>
      </c>
    </row>
    <row r="14" spans="2:24" x14ac:dyDescent="0.25">
      <c r="R14" s="19"/>
      <c r="S14" s="23" t="s">
        <v>158</v>
      </c>
      <c r="T14" s="23" t="s">
        <v>165</v>
      </c>
      <c r="U14" s="23">
        <v>12101.3999999999</v>
      </c>
    </row>
    <row r="15" spans="2:24" x14ac:dyDescent="0.25">
      <c r="R15" s="19"/>
      <c r="S15" s="23" t="s">
        <v>158</v>
      </c>
      <c r="T15" s="23" t="s">
        <v>166</v>
      </c>
      <c r="U15" s="23">
        <v>12070.8999999999</v>
      </c>
    </row>
    <row r="16" spans="2:24" x14ac:dyDescent="0.25">
      <c r="R16" s="19"/>
      <c r="S16" s="23" t="s">
        <v>158</v>
      </c>
      <c r="T16" s="23" t="s">
        <v>167</v>
      </c>
      <c r="U16" s="23">
        <v>11972.5</v>
      </c>
    </row>
    <row r="17" spans="18:21" x14ac:dyDescent="0.25">
      <c r="R17" s="19"/>
      <c r="S17" s="23" t="s">
        <v>158</v>
      </c>
      <c r="T17" s="23" t="s">
        <v>168</v>
      </c>
      <c r="U17" s="23">
        <v>11810.8999999999</v>
      </c>
    </row>
    <row r="18" spans="18:21" x14ac:dyDescent="0.25">
      <c r="R18" s="19"/>
      <c r="S18" s="23" t="s">
        <v>158</v>
      </c>
      <c r="T18" s="23" t="s">
        <v>169</v>
      </c>
      <c r="U18" s="23">
        <v>11470.8999999999</v>
      </c>
    </row>
    <row r="19" spans="18:21" x14ac:dyDescent="0.25">
      <c r="R19" s="19"/>
      <c r="S19" s="23" t="s">
        <v>158</v>
      </c>
      <c r="T19" s="23" t="s">
        <v>170</v>
      </c>
      <c r="U19" s="23">
        <v>10744.199999999901</v>
      </c>
    </row>
    <row r="20" spans="18:21" x14ac:dyDescent="0.25">
      <c r="R20" s="19"/>
      <c r="S20" s="23" t="s">
        <v>158</v>
      </c>
      <c r="T20" s="23" t="s">
        <v>171</v>
      </c>
      <c r="U20" s="23">
        <v>10694.199999999901</v>
      </c>
    </row>
    <row r="21" spans="18:21" x14ac:dyDescent="0.25">
      <c r="R21" s="19"/>
      <c r="S21" s="23" t="s">
        <v>158</v>
      </c>
      <c r="T21" s="23" t="s">
        <v>172</v>
      </c>
      <c r="U21" s="23">
        <v>10075.4999999999</v>
      </c>
    </row>
    <row r="22" spans="18:21" x14ac:dyDescent="0.25">
      <c r="R22" s="19"/>
      <c r="S22" s="23" t="s">
        <v>158</v>
      </c>
      <c r="T22" s="23" t="s">
        <v>173</v>
      </c>
      <c r="U22" s="23">
        <v>9958.7999999999993</v>
      </c>
    </row>
    <row r="23" spans="18:21" x14ac:dyDescent="0.25">
      <c r="R23" s="19"/>
      <c r="S23" s="23" t="s">
        <v>158</v>
      </c>
      <c r="T23" s="23" t="s">
        <v>174</v>
      </c>
      <c r="U23" s="23">
        <v>9921.9</v>
      </c>
    </row>
    <row r="24" spans="18:21" x14ac:dyDescent="0.25">
      <c r="R24" s="19"/>
      <c r="S24" s="23" t="s">
        <v>158</v>
      </c>
      <c r="T24" s="23" t="s">
        <v>175</v>
      </c>
      <c r="U24" s="23">
        <v>9336.0999999999894</v>
      </c>
    </row>
    <row r="25" spans="18:21" x14ac:dyDescent="0.25">
      <c r="R25" s="19"/>
      <c r="S25" s="23" t="s">
        <v>158</v>
      </c>
      <c r="T25" s="23" t="s">
        <v>176</v>
      </c>
      <c r="U25" s="23">
        <v>9331.5999999999894</v>
      </c>
    </row>
    <row r="26" spans="18:21" x14ac:dyDescent="0.25">
      <c r="R26" s="19"/>
      <c r="S26" s="23" t="s">
        <v>158</v>
      </c>
      <c r="T26" s="23" t="s">
        <v>177</v>
      </c>
      <c r="U26" s="23">
        <v>8757.6</v>
      </c>
    </row>
    <row r="27" spans="18:21" x14ac:dyDescent="0.25">
      <c r="R27" s="19"/>
      <c r="S27" s="23" t="s">
        <v>158</v>
      </c>
      <c r="T27" s="23" t="s">
        <v>178</v>
      </c>
      <c r="U27" s="23">
        <v>8751.0999999999894</v>
      </c>
    </row>
    <row r="28" spans="18:21" x14ac:dyDescent="0.25">
      <c r="R28" s="19"/>
      <c r="S28" s="23" t="s">
        <v>158</v>
      </c>
      <c r="T28" s="23" t="s">
        <v>179</v>
      </c>
      <c r="U28" s="23">
        <v>8545.2999999999993</v>
      </c>
    </row>
    <row r="29" spans="18:21" x14ac:dyDescent="0.25">
      <c r="R29" s="19"/>
      <c r="S29" s="23" t="s">
        <v>158</v>
      </c>
      <c r="T29" s="23" t="s">
        <v>180</v>
      </c>
      <c r="U29" s="23">
        <v>8223.7999999999902</v>
      </c>
    </row>
    <row r="30" spans="18:21" x14ac:dyDescent="0.25">
      <c r="R30" s="19"/>
      <c r="S30" s="23" t="s">
        <v>158</v>
      </c>
      <c r="T30" s="23" t="s">
        <v>181</v>
      </c>
      <c r="U30" s="23">
        <v>8131.8999999999896</v>
      </c>
    </row>
    <row r="31" spans="18:21" x14ac:dyDescent="0.25">
      <c r="R31" s="19"/>
      <c r="S31" s="23" t="s">
        <v>158</v>
      </c>
      <c r="T31" s="23" t="s">
        <v>182</v>
      </c>
      <c r="U31" s="23">
        <v>7955.7</v>
      </c>
    </row>
    <row r="32" spans="18:21" x14ac:dyDescent="0.25">
      <c r="R32" s="19"/>
      <c r="S32" s="23" t="s">
        <v>158</v>
      </c>
      <c r="T32" s="23" t="s">
        <v>124</v>
      </c>
      <c r="U32" s="23">
        <v>7922.7999999999902</v>
      </c>
    </row>
    <row r="33" spans="18:21" x14ac:dyDescent="0.25">
      <c r="R33" s="19"/>
      <c r="S33" s="83" t="s">
        <v>158</v>
      </c>
      <c r="T33" s="83" t="s">
        <v>183</v>
      </c>
      <c r="U33" s="83">
        <v>7751.99999999999</v>
      </c>
    </row>
    <row r="34" spans="18:21" x14ac:dyDescent="0.25">
      <c r="R34" s="19"/>
      <c r="S34" s="83" t="s">
        <v>158</v>
      </c>
      <c r="T34" s="83" t="s">
        <v>184</v>
      </c>
      <c r="U34" s="83">
        <v>7735.49999999999</v>
      </c>
    </row>
    <row r="35" spans="18:21" x14ac:dyDescent="0.25">
      <c r="R35" s="19"/>
      <c r="S35" s="83" t="s">
        <v>158</v>
      </c>
      <c r="T35" s="83" t="s">
        <v>185</v>
      </c>
      <c r="U35" s="83">
        <v>7315.5</v>
      </c>
    </row>
    <row r="36" spans="18:21" x14ac:dyDescent="0.25">
      <c r="R36" s="19"/>
      <c r="S36" s="83" t="s">
        <v>158</v>
      </c>
      <c r="T36" s="83" t="s">
        <v>186</v>
      </c>
      <c r="U36" s="83">
        <v>7143.2999999999902</v>
      </c>
    </row>
    <row r="37" spans="18:21" x14ac:dyDescent="0.25">
      <c r="R37" s="19"/>
      <c r="S37" s="83" t="s">
        <v>158</v>
      </c>
      <c r="T37" s="83" t="s">
        <v>187</v>
      </c>
      <c r="U37" s="83">
        <v>6653.5</v>
      </c>
    </row>
    <row r="38" spans="18:21" x14ac:dyDescent="0.25">
      <c r="R38" s="19"/>
      <c r="S38" s="83" t="s">
        <v>158</v>
      </c>
      <c r="T38" s="83" t="s">
        <v>188</v>
      </c>
      <c r="U38" s="83">
        <v>6614.5</v>
      </c>
    </row>
    <row r="39" spans="18:21" x14ac:dyDescent="0.25">
      <c r="R39" s="19"/>
      <c r="S39" s="83" t="s">
        <v>158</v>
      </c>
      <c r="T39" s="83" t="s">
        <v>189</v>
      </c>
      <c r="U39" s="83">
        <v>6463.6999999999898</v>
      </c>
    </row>
    <row r="40" spans="18:21" x14ac:dyDescent="0.25">
      <c r="R40" s="19"/>
      <c r="S40" s="83" t="s">
        <v>158</v>
      </c>
      <c r="T40" s="83" t="s">
        <v>190</v>
      </c>
      <c r="U40" s="83">
        <v>6446.9</v>
      </c>
    </row>
    <row r="41" spans="18:21" x14ac:dyDescent="0.25">
      <c r="R41" s="19"/>
      <c r="S41" s="83" t="s">
        <v>158</v>
      </c>
      <c r="T41" s="83" t="s">
        <v>191</v>
      </c>
      <c r="U41" s="83">
        <v>6283.8999999999896</v>
      </c>
    </row>
    <row r="42" spans="18:21" x14ac:dyDescent="0.25">
      <c r="R42" s="19"/>
      <c r="S42" s="83" t="s">
        <v>158</v>
      </c>
      <c r="T42" s="83" t="s">
        <v>192</v>
      </c>
      <c r="U42" s="83">
        <v>5828.7999999999902</v>
      </c>
    </row>
    <row r="43" spans="18:21" x14ac:dyDescent="0.25">
      <c r="R43" s="19"/>
      <c r="S43" s="83" t="s">
        <v>158</v>
      </c>
      <c r="T43" s="83" t="s">
        <v>193</v>
      </c>
      <c r="U43" s="83">
        <v>5530.4</v>
      </c>
    </row>
    <row r="44" spans="18:21" x14ac:dyDescent="0.25">
      <c r="R44" s="19"/>
      <c r="S44" s="83" t="s">
        <v>158</v>
      </c>
      <c r="T44" s="83" t="s">
        <v>115</v>
      </c>
      <c r="U44" s="83">
        <v>5478.2999999999902</v>
      </c>
    </row>
    <row r="45" spans="18:21" x14ac:dyDescent="0.25">
      <c r="R45" s="19"/>
      <c r="S45" s="83" t="s">
        <v>158</v>
      </c>
      <c r="T45" s="83" t="s">
        <v>194</v>
      </c>
      <c r="U45" s="83">
        <v>5457.0999999999904</v>
      </c>
    </row>
    <row r="46" spans="18:21" x14ac:dyDescent="0.25">
      <c r="R46" s="19"/>
      <c r="S46" s="83" t="s">
        <v>158</v>
      </c>
      <c r="T46" s="83" t="s">
        <v>195</v>
      </c>
      <c r="U46" s="83">
        <v>5393.5</v>
      </c>
    </row>
    <row r="47" spans="18:21" x14ac:dyDescent="0.25">
      <c r="R47" s="19"/>
      <c r="S47" s="83" t="s">
        <v>158</v>
      </c>
      <c r="T47" s="83" t="s">
        <v>196</v>
      </c>
      <c r="U47" s="83">
        <v>5099.6000000000004</v>
      </c>
    </row>
    <row r="48" spans="18:21" x14ac:dyDescent="0.25">
      <c r="R48" s="19"/>
      <c r="S48" s="83" t="s">
        <v>158</v>
      </c>
      <c r="T48" s="83" t="s">
        <v>197</v>
      </c>
      <c r="U48" s="83">
        <v>5026.7999999999902</v>
      </c>
    </row>
    <row r="49" spans="18:21" x14ac:dyDescent="0.25">
      <c r="R49" s="19"/>
      <c r="S49" s="83" t="s">
        <v>158</v>
      </c>
      <c r="T49" s="83" t="s">
        <v>198</v>
      </c>
      <c r="U49" s="83">
        <v>4966.5</v>
      </c>
    </row>
    <row r="50" spans="18:21" x14ac:dyDescent="0.25">
      <c r="R50" s="19"/>
      <c r="S50" s="83" t="s">
        <v>158</v>
      </c>
      <c r="T50" s="83" t="s">
        <v>199</v>
      </c>
      <c r="U50" s="83">
        <v>4947.3</v>
      </c>
    </row>
    <row r="51" spans="18:21" ht="30" x14ac:dyDescent="0.25">
      <c r="R51" s="19"/>
      <c r="S51" s="83" t="s">
        <v>158</v>
      </c>
      <c r="T51" s="83" t="s">
        <v>200</v>
      </c>
      <c r="U51" s="83">
        <v>4757.5999999999904</v>
      </c>
    </row>
    <row r="52" spans="18:21" x14ac:dyDescent="0.25">
      <c r="R52" s="19"/>
      <c r="S52" s="83" t="s">
        <v>158</v>
      </c>
      <c r="T52" s="83" t="s">
        <v>201</v>
      </c>
      <c r="U52" s="83">
        <v>4707.8999999999896</v>
      </c>
    </row>
    <row r="53" spans="18:21" x14ac:dyDescent="0.25">
      <c r="R53" s="19"/>
      <c r="S53" s="83" t="s">
        <v>158</v>
      </c>
      <c r="T53" s="83" t="s">
        <v>202</v>
      </c>
      <c r="U53" s="83">
        <v>4651.3</v>
      </c>
    </row>
    <row r="54" spans="18:21" ht="30" x14ac:dyDescent="0.25">
      <c r="R54" s="19"/>
      <c r="S54" s="83" t="s">
        <v>158</v>
      </c>
      <c r="T54" s="83" t="s">
        <v>203</v>
      </c>
      <c r="U54" s="83">
        <v>4496.99999999999</v>
      </c>
    </row>
    <row r="55" spans="18:21" x14ac:dyDescent="0.25">
      <c r="R55" s="19"/>
      <c r="S55" s="83" t="s">
        <v>158</v>
      </c>
      <c r="T55" s="83" t="s">
        <v>204</v>
      </c>
      <c r="U55" s="83">
        <v>4471.6000000000004</v>
      </c>
    </row>
    <row r="56" spans="18:21" ht="30" x14ac:dyDescent="0.25">
      <c r="R56" s="19"/>
      <c r="S56" s="83" t="s">
        <v>158</v>
      </c>
      <c r="T56" s="83" t="s">
        <v>205</v>
      </c>
      <c r="U56" s="83">
        <v>4432.3</v>
      </c>
    </row>
    <row r="57" spans="18:21" x14ac:dyDescent="0.25">
      <c r="R57" s="19"/>
      <c r="S57" s="83" t="s">
        <v>158</v>
      </c>
      <c r="T57" s="83" t="s">
        <v>206</v>
      </c>
      <c r="U57" s="83">
        <v>4256.1000000000004</v>
      </c>
    </row>
    <row r="58" spans="18:21" x14ac:dyDescent="0.25">
      <c r="R58" s="19"/>
      <c r="S58" s="83" t="s">
        <v>158</v>
      </c>
      <c r="T58" s="83" t="s">
        <v>207</v>
      </c>
      <c r="U58" s="83">
        <v>4208.8999999999896</v>
      </c>
    </row>
    <row r="59" spans="18:21" x14ac:dyDescent="0.25">
      <c r="R59" s="19"/>
      <c r="S59" s="83" t="s">
        <v>158</v>
      </c>
      <c r="T59" s="83" t="s">
        <v>208</v>
      </c>
      <c r="U59" s="83">
        <v>4181.6999999999898</v>
      </c>
    </row>
    <row r="60" spans="18:21" x14ac:dyDescent="0.25">
      <c r="R60" s="19"/>
      <c r="S60" s="83" t="s">
        <v>158</v>
      </c>
      <c r="T60" s="83" t="s">
        <v>209</v>
      </c>
      <c r="U60" s="83">
        <v>4122.8999999999996</v>
      </c>
    </row>
    <row r="61" spans="18:21" x14ac:dyDescent="0.25">
      <c r="R61" s="19"/>
      <c r="S61" s="83" t="s">
        <v>158</v>
      </c>
      <c r="T61" s="83" t="s">
        <v>210</v>
      </c>
      <c r="U61" s="83">
        <v>4084.9</v>
      </c>
    </row>
    <row r="62" spans="18:21" x14ac:dyDescent="0.25">
      <c r="R62" s="19"/>
      <c r="S62" s="83" t="s">
        <v>158</v>
      </c>
      <c r="T62" s="83" t="s">
        <v>211</v>
      </c>
      <c r="U62" s="83">
        <v>4016.6</v>
      </c>
    </row>
    <row r="63" spans="18:21" ht="30" x14ac:dyDescent="0.25">
      <c r="R63" s="19"/>
      <c r="S63" s="83" t="s">
        <v>158</v>
      </c>
      <c r="T63" s="83" t="s">
        <v>212</v>
      </c>
      <c r="U63" s="83">
        <v>4015.5999999999899</v>
      </c>
    </row>
    <row r="64" spans="18:21" x14ac:dyDescent="0.25">
      <c r="R64" s="19"/>
      <c r="S64" s="83" t="s">
        <v>158</v>
      </c>
      <c r="T64" s="83" t="s">
        <v>120</v>
      </c>
      <c r="U64" s="83">
        <v>3936.3</v>
      </c>
    </row>
    <row r="65" spans="18:21" x14ac:dyDescent="0.25">
      <c r="R65" s="19"/>
      <c r="S65" s="83" t="s">
        <v>158</v>
      </c>
      <c r="T65" s="83" t="s">
        <v>213</v>
      </c>
      <c r="U65" s="83">
        <v>3839.3999999999901</v>
      </c>
    </row>
    <row r="66" spans="18:21" x14ac:dyDescent="0.25">
      <c r="R66" s="19"/>
      <c r="S66" s="83" t="s">
        <v>158</v>
      </c>
      <c r="T66" s="83" t="s">
        <v>214</v>
      </c>
      <c r="U66" s="83">
        <v>3824.99999999999</v>
      </c>
    </row>
    <row r="67" spans="18:21" x14ac:dyDescent="0.25">
      <c r="R67" s="19"/>
      <c r="S67" s="83" t="s">
        <v>158</v>
      </c>
      <c r="T67" s="83" t="s">
        <v>215</v>
      </c>
      <c r="U67" s="83">
        <v>3812.8999999999901</v>
      </c>
    </row>
    <row r="68" spans="18:21" x14ac:dyDescent="0.25">
      <c r="R68" s="19"/>
      <c r="S68" s="83" t="s">
        <v>158</v>
      </c>
      <c r="T68" s="83" t="s">
        <v>216</v>
      </c>
      <c r="U68" s="83">
        <v>3765.7</v>
      </c>
    </row>
    <row r="69" spans="18:21" ht="30" x14ac:dyDescent="0.25">
      <c r="R69" s="19"/>
      <c r="S69" s="83" t="s">
        <v>158</v>
      </c>
      <c r="T69" s="83" t="s">
        <v>217</v>
      </c>
      <c r="U69" s="83">
        <v>3734</v>
      </c>
    </row>
    <row r="70" spans="18:21" x14ac:dyDescent="0.25">
      <c r="R70" s="19"/>
      <c r="S70" s="83" t="s">
        <v>158</v>
      </c>
      <c r="T70" s="83" t="s">
        <v>218</v>
      </c>
      <c r="U70" s="83">
        <v>3715.99999999999</v>
      </c>
    </row>
    <row r="71" spans="18:21" x14ac:dyDescent="0.25">
      <c r="R71" s="19"/>
      <c r="S71" s="83" t="s">
        <v>158</v>
      </c>
      <c r="T71" s="83" t="s">
        <v>219</v>
      </c>
      <c r="U71" s="83">
        <v>3617.9</v>
      </c>
    </row>
    <row r="72" spans="18:21" x14ac:dyDescent="0.25">
      <c r="R72" s="19"/>
      <c r="S72" s="83" t="s">
        <v>158</v>
      </c>
      <c r="T72" s="83" t="s">
        <v>220</v>
      </c>
      <c r="U72" s="83">
        <v>3072.2999999999902</v>
      </c>
    </row>
    <row r="73" spans="18:21" x14ac:dyDescent="0.25">
      <c r="R73" s="19"/>
      <c r="S73" s="83" t="s">
        <v>158</v>
      </c>
      <c r="T73" s="83" t="s">
        <v>221</v>
      </c>
      <c r="U73" s="83">
        <v>2980.4</v>
      </c>
    </row>
    <row r="74" spans="18:21" x14ac:dyDescent="0.25">
      <c r="R74" s="19"/>
      <c r="S74" s="83" t="s">
        <v>158</v>
      </c>
      <c r="T74" s="83" t="s">
        <v>126</v>
      </c>
      <c r="U74" s="83">
        <v>2926.1</v>
      </c>
    </row>
    <row r="75" spans="18:21" x14ac:dyDescent="0.25">
      <c r="R75" s="19"/>
      <c r="S75" s="83" t="s">
        <v>158</v>
      </c>
      <c r="T75" s="83" t="s">
        <v>222</v>
      </c>
      <c r="U75" s="83">
        <v>2861.99999999999</v>
      </c>
    </row>
    <row r="76" spans="18:21" x14ac:dyDescent="0.25">
      <c r="R76" s="19"/>
      <c r="S76" s="83" t="s">
        <v>158</v>
      </c>
      <c r="T76" s="83" t="s">
        <v>223</v>
      </c>
      <c r="U76" s="83">
        <v>2833.99999999999</v>
      </c>
    </row>
    <row r="77" spans="18:21" x14ac:dyDescent="0.25">
      <c r="R77" s="19"/>
      <c r="S77" s="83" t="s">
        <v>158</v>
      </c>
      <c r="T77" s="83" t="s">
        <v>224</v>
      </c>
      <c r="U77" s="83">
        <v>2752.0999999999899</v>
      </c>
    </row>
    <row r="78" spans="18:21" x14ac:dyDescent="0.25">
      <c r="R78" s="19"/>
      <c r="S78" s="83" t="s">
        <v>158</v>
      </c>
      <c r="T78" s="83" t="s">
        <v>122</v>
      </c>
      <c r="U78" s="83">
        <v>2743.9</v>
      </c>
    </row>
    <row r="79" spans="18:21" ht="30" x14ac:dyDescent="0.25">
      <c r="R79" s="19"/>
      <c r="S79" s="83" t="s">
        <v>158</v>
      </c>
      <c r="T79" s="83" t="s">
        <v>225</v>
      </c>
      <c r="U79" s="83">
        <v>2717.9</v>
      </c>
    </row>
    <row r="80" spans="18:21" ht="30" x14ac:dyDescent="0.25">
      <c r="R80" s="19"/>
      <c r="S80" s="83" t="s">
        <v>158</v>
      </c>
      <c r="T80" s="83" t="s">
        <v>226</v>
      </c>
      <c r="U80" s="83">
        <v>2710.3999999999901</v>
      </c>
    </row>
    <row r="81" spans="18:21" x14ac:dyDescent="0.25">
      <c r="R81" s="19"/>
      <c r="S81" s="83" t="s">
        <v>158</v>
      </c>
      <c r="T81" s="83" t="s">
        <v>109</v>
      </c>
      <c r="U81" s="83">
        <v>2633.0999999999899</v>
      </c>
    </row>
    <row r="82" spans="18:21" x14ac:dyDescent="0.25">
      <c r="R82" s="19"/>
      <c r="S82" s="83" t="s">
        <v>158</v>
      </c>
      <c r="T82" s="83" t="s">
        <v>227</v>
      </c>
      <c r="U82" s="83">
        <v>2339</v>
      </c>
    </row>
    <row r="83" spans="18:21" ht="30" x14ac:dyDescent="0.25">
      <c r="R83" s="19"/>
      <c r="S83" s="83" t="s">
        <v>158</v>
      </c>
      <c r="T83" s="83" t="s">
        <v>228</v>
      </c>
      <c r="U83" s="83">
        <v>2323.9</v>
      </c>
    </row>
    <row r="84" spans="18:21" x14ac:dyDescent="0.25">
      <c r="R84" s="19"/>
      <c r="S84" s="83" t="s">
        <v>158</v>
      </c>
      <c r="T84" s="83" t="s">
        <v>229</v>
      </c>
      <c r="U84" s="83">
        <v>2199.6999999999998</v>
      </c>
    </row>
    <row r="85" spans="18:21" x14ac:dyDescent="0.25">
      <c r="R85" s="19"/>
      <c r="S85" s="83" t="s">
        <v>158</v>
      </c>
      <c r="T85" s="83" t="s">
        <v>230</v>
      </c>
      <c r="U85" s="83">
        <v>1966.79999999999</v>
      </c>
    </row>
    <row r="86" spans="18:21" x14ac:dyDescent="0.25">
      <c r="R86" s="19"/>
      <c r="S86" s="83" t="s">
        <v>158</v>
      </c>
      <c r="T86" s="83" t="s">
        <v>231</v>
      </c>
      <c r="U86" s="83">
        <v>1959.2</v>
      </c>
    </row>
    <row r="87" spans="18:21" x14ac:dyDescent="0.25">
      <c r="R87" s="19"/>
      <c r="S87" s="83" t="s">
        <v>158</v>
      </c>
      <c r="T87" s="83" t="s">
        <v>232</v>
      </c>
      <c r="U87" s="83">
        <v>1767.7</v>
      </c>
    </row>
    <row r="88" spans="18:21" x14ac:dyDescent="0.25">
      <c r="R88" s="19"/>
      <c r="S88" s="83" t="s">
        <v>158</v>
      </c>
      <c r="T88" s="83" t="s">
        <v>233</v>
      </c>
      <c r="U88" s="83">
        <v>1721</v>
      </c>
    </row>
    <row r="89" spans="18:21" ht="30" x14ac:dyDescent="0.25">
      <c r="R89" s="19"/>
      <c r="S89" s="83" t="s">
        <v>158</v>
      </c>
      <c r="T89" s="83" t="s">
        <v>128</v>
      </c>
      <c r="U89" s="83">
        <v>1564.99999999999</v>
      </c>
    </row>
    <row r="90" spans="18:21" x14ac:dyDescent="0.25">
      <c r="R90" s="19"/>
      <c r="S90" s="83" t="s">
        <v>158</v>
      </c>
      <c r="T90" s="83" t="s">
        <v>234</v>
      </c>
      <c r="U90" s="83">
        <v>1548.2</v>
      </c>
    </row>
    <row r="91" spans="18:21" x14ac:dyDescent="0.25">
      <c r="R91" s="19"/>
      <c r="S91" s="83" t="s">
        <v>158</v>
      </c>
      <c r="T91" s="83" t="s">
        <v>235</v>
      </c>
      <c r="U91" s="83">
        <v>1311.4</v>
      </c>
    </row>
    <row r="92" spans="18:21" x14ac:dyDescent="0.25">
      <c r="R92" s="19"/>
      <c r="S92" s="83" t="s">
        <v>158</v>
      </c>
      <c r="T92" s="83" t="s">
        <v>236</v>
      </c>
      <c r="U92" s="83">
        <v>1113.5999999999999</v>
      </c>
    </row>
    <row r="93" spans="18:21" x14ac:dyDescent="0.25">
      <c r="R93" s="19"/>
      <c r="S93" s="83" t="s">
        <v>158</v>
      </c>
      <c r="T93" s="83" t="s">
        <v>237</v>
      </c>
      <c r="U93" s="83">
        <v>1092.2</v>
      </c>
    </row>
    <row r="94" spans="18:21" x14ac:dyDescent="0.25">
      <c r="R94" s="19"/>
      <c r="S94" s="83" t="s">
        <v>238</v>
      </c>
      <c r="T94" s="83" t="s">
        <v>159</v>
      </c>
      <c r="U94" s="83">
        <v>17959.400000000001</v>
      </c>
    </row>
    <row r="95" spans="18:21" x14ac:dyDescent="0.25">
      <c r="R95" s="19"/>
      <c r="S95" s="83" t="s">
        <v>238</v>
      </c>
      <c r="T95" s="83" t="s">
        <v>160</v>
      </c>
      <c r="U95" s="83">
        <v>15993.199999999901</v>
      </c>
    </row>
    <row r="96" spans="18:21" x14ac:dyDescent="0.25">
      <c r="R96" s="19"/>
      <c r="S96" s="83" t="s">
        <v>238</v>
      </c>
      <c r="T96" s="83" t="s">
        <v>161</v>
      </c>
      <c r="U96" s="83">
        <v>15353.699999999901</v>
      </c>
    </row>
    <row r="97" spans="18:21" x14ac:dyDescent="0.25">
      <c r="R97" s="19"/>
      <c r="S97" s="83" t="s">
        <v>238</v>
      </c>
      <c r="T97" s="83" t="s">
        <v>164</v>
      </c>
      <c r="U97" s="83">
        <v>14677.299999999899</v>
      </c>
    </row>
    <row r="98" spans="18:21" x14ac:dyDescent="0.25">
      <c r="R98" s="19"/>
      <c r="S98" s="83" t="s">
        <v>238</v>
      </c>
      <c r="T98" s="83" t="s">
        <v>162</v>
      </c>
      <c r="U98" s="83">
        <v>13458.2</v>
      </c>
    </row>
    <row r="99" spans="18:21" ht="30" x14ac:dyDescent="0.25">
      <c r="R99" s="19"/>
      <c r="S99" s="83" t="s">
        <v>238</v>
      </c>
      <c r="T99" s="83" t="s">
        <v>173</v>
      </c>
      <c r="U99" s="83">
        <v>10463</v>
      </c>
    </row>
    <row r="100" spans="18:21" x14ac:dyDescent="0.25">
      <c r="R100" s="19"/>
      <c r="S100" s="83" t="s">
        <v>238</v>
      </c>
      <c r="T100" s="83" t="s">
        <v>172</v>
      </c>
      <c r="U100" s="83">
        <v>10001.700000000001</v>
      </c>
    </row>
    <row r="101" spans="18:21" x14ac:dyDescent="0.25">
      <c r="R101" s="19"/>
      <c r="S101" s="83" t="s">
        <v>238</v>
      </c>
      <c r="T101" s="83" t="s">
        <v>167</v>
      </c>
      <c r="U101" s="83">
        <v>9949.4</v>
      </c>
    </row>
    <row r="102" spans="18:21" ht="30" x14ac:dyDescent="0.25">
      <c r="R102" s="19"/>
      <c r="S102" s="83" t="s">
        <v>238</v>
      </c>
      <c r="T102" s="83" t="s">
        <v>130</v>
      </c>
      <c r="U102" s="83">
        <v>9845.7000000000007</v>
      </c>
    </row>
    <row r="103" spans="18:21" x14ac:dyDescent="0.25">
      <c r="R103" s="19"/>
      <c r="S103" s="83" t="s">
        <v>238</v>
      </c>
      <c r="T103" s="83" t="s">
        <v>112</v>
      </c>
      <c r="U103" s="83">
        <v>9754.9999999999909</v>
      </c>
    </row>
    <row r="104" spans="18:21" x14ac:dyDescent="0.25">
      <c r="R104" s="19"/>
      <c r="S104" s="83" t="s">
        <v>238</v>
      </c>
      <c r="T104" s="83" t="s">
        <v>176</v>
      </c>
      <c r="U104" s="83">
        <v>9387.0999999999894</v>
      </c>
    </row>
    <row r="105" spans="18:21" ht="30" x14ac:dyDescent="0.25">
      <c r="R105" s="19"/>
      <c r="S105" s="83" t="s">
        <v>238</v>
      </c>
      <c r="T105" s="83" t="s">
        <v>163</v>
      </c>
      <c r="U105" s="83">
        <v>9181.2999999999993</v>
      </c>
    </row>
    <row r="106" spans="18:21" x14ac:dyDescent="0.25">
      <c r="R106" s="19"/>
      <c r="S106" s="83" t="s">
        <v>238</v>
      </c>
      <c r="T106" s="83" t="s">
        <v>169</v>
      </c>
      <c r="U106" s="83">
        <v>8667.1999999999898</v>
      </c>
    </row>
    <row r="107" spans="18:21" x14ac:dyDescent="0.25">
      <c r="R107" s="19"/>
      <c r="S107" s="83" t="s">
        <v>238</v>
      </c>
      <c r="T107" s="83" t="s">
        <v>166</v>
      </c>
      <c r="U107" s="83">
        <v>8120.5</v>
      </c>
    </row>
    <row r="108" spans="18:21" ht="30" x14ac:dyDescent="0.25">
      <c r="R108" s="19"/>
      <c r="S108" s="83" t="s">
        <v>238</v>
      </c>
      <c r="T108" s="83" t="s">
        <v>170</v>
      </c>
      <c r="U108" s="83">
        <v>8057.2999999999902</v>
      </c>
    </row>
    <row r="109" spans="18:21" x14ac:dyDescent="0.25">
      <c r="R109" s="19"/>
      <c r="S109" s="83" t="s">
        <v>238</v>
      </c>
      <c r="T109" s="83" t="s">
        <v>177</v>
      </c>
      <c r="U109" s="83">
        <v>7758.4</v>
      </c>
    </row>
    <row r="110" spans="18:21" x14ac:dyDescent="0.25">
      <c r="R110" s="19"/>
      <c r="S110" s="83" t="s">
        <v>238</v>
      </c>
      <c r="T110" s="83" t="s">
        <v>168</v>
      </c>
      <c r="U110" s="83">
        <v>7591.3999999999896</v>
      </c>
    </row>
    <row r="111" spans="18:21" x14ac:dyDescent="0.25">
      <c r="R111" s="19"/>
      <c r="S111" s="83" t="s">
        <v>238</v>
      </c>
      <c r="T111" s="83" t="s">
        <v>184</v>
      </c>
      <c r="U111" s="83">
        <v>7516.2</v>
      </c>
    </row>
    <row r="112" spans="18:21" x14ac:dyDescent="0.25">
      <c r="R112" s="19"/>
      <c r="S112" s="83" t="s">
        <v>238</v>
      </c>
      <c r="T112" s="83" t="s">
        <v>181</v>
      </c>
      <c r="U112" s="83">
        <v>7430.3999999999896</v>
      </c>
    </row>
    <row r="113" spans="18:21" x14ac:dyDescent="0.25">
      <c r="R113" s="19"/>
      <c r="S113" s="83" t="s">
        <v>238</v>
      </c>
      <c r="T113" s="83" t="s">
        <v>171</v>
      </c>
      <c r="U113" s="83">
        <v>7390.6999999999898</v>
      </c>
    </row>
    <row r="114" spans="18:21" ht="30" x14ac:dyDescent="0.25">
      <c r="R114" s="19"/>
      <c r="S114" s="83" t="s">
        <v>238</v>
      </c>
      <c r="T114" s="83" t="s">
        <v>165</v>
      </c>
      <c r="U114" s="83">
        <v>7091.7</v>
      </c>
    </row>
    <row r="115" spans="18:21" ht="30" x14ac:dyDescent="0.25">
      <c r="R115" s="19"/>
      <c r="S115" s="83" t="s">
        <v>238</v>
      </c>
      <c r="T115" s="83" t="s">
        <v>179</v>
      </c>
      <c r="U115" s="83">
        <v>6829.8</v>
      </c>
    </row>
    <row r="116" spans="18:21" x14ac:dyDescent="0.25">
      <c r="R116" s="19"/>
      <c r="S116" s="83" t="s">
        <v>238</v>
      </c>
      <c r="T116" s="83" t="s">
        <v>175</v>
      </c>
      <c r="U116" s="83">
        <v>6547.0999999999904</v>
      </c>
    </row>
    <row r="117" spans="18:21" x14ac:dyDescent="0.25">
      <c r="R117" s="19"/>
      <c r="S117" s="83" t="s">
        <v>238</v>
      </c>
      <c r="T117" s="83" t="s">
        <v>124</v>
      </c>
      <c r="U117" s="83">
        <v>6395.1</v>
      </c>
    </row>
    <row r="118" spans="18:21" x14ac:dyDescent="0.25">
      <c r="R118" s="19"/>
      <c r="S118" s="83" t="s">
        <v>238</v>
      </c>
      <c r="T118" s="83" t="s">
        <v>178</v>
      </c>
      <c r="U118" s="83">
        <v>6124.99999999999</v>
      </c>
    </row>
    <row r="119" spans="18:21" x14ac:dyDescent="0.25">
      <c r="R119" s="19"/>
      <c r="S119" s="83" t="s">
        <v>238</v>
      </c>
      <c r="T119" s="83" t="s">
        <v>183</v>
      </c>
      <c r="U119" s="83">
        <v>6109.49999999999</v>
      </c>
    </row>
    <row r="120" spans="18:21" x14ac:dyDescent="0.25">
      <c r="R120" s="19"/>
      <c r="S120" s="23" t="s">
        <v>238</v>
      </c>
      <c r="T120" s="23" t="s">
        <v>174</v>
      </c>
      <c r="U120" s="23">
        <v>5863.5999999999904</v>
      </c>
    </row>
    <row r="121" spans="18:21" x14ac:dyDescent="0.25">
      <c r="R121" s="19"/>
      <c r="S121" s="23" t="s">
        <v>238</v>
      </c>
      <c r="T121" s="23" t="s">
        <v>191</v>
      </c>
      <c r="U121" s="23">
        <v>5859.6999999999898</v>
      </c>
    </row>
    <row r="122" spans="18:21" x14ac:dyDescent="0.25">
      <c r="R122" s="19"/>
      <c r="S122" s="23" t="s">
        <v>238</v>
      </c>
      <c r="T122" s="23" t="s">
        <v>180</v>
      </c>
      <c r="U122" s="23">
        <v>5822.2999999999902</v>
      </c>
    </row>
    <row r="123" spans="18:21" x14ac:dyDescent="0.25">
      <c r="R123" s="19"/>
      <c r="S123" s="23" t="s">
        <v>238</v>
      </c>
      <c r="T123" s="23" t="s">
        <v>210</v>
      </c>
      <c r="U123" s="23">
        <v>5694.0999999999904</v>
      </c>
    </row>
    <row r="124" spans="18:21" x14ac:dyDescent="0.25">
      <c r="R124" s="19"/>
      <c r="S124" s="23" t="s">
        <v>238</v>
      </c>
      <c r="T124" s="23" t="s">
        <v>212</v>
      </c>
      <c r="U124" s="23">
        <v>5663.2999999999902</v>
      </c>
    </row>
    <row r="125" spans="18:21" x14ac:dyDescent="0.25">
      <c r="R125" s="19"/>
      <c r="S125" s="23" t="s">
        <v>238</v>
      </c>
      <c r="T125" s="23" t="s">
        <v>189</v>
      </c>
      <c r="U125" s="23">
        <v>5662.49999999999</v>
      </c>
    </row>
    <row r="126" spans="18:21" x14ac:dyDescent="0.25">
      <c r="R126" s="19"/>
      <c r="S126" s="23" t="s">
        <v>238</v>
      </c>
      <c r="T126" s="23" t="s">
        <v>188</v>
      </c>
      <c r="U126" s="23">
        <v>5057.1999999999898</v>
      </c>
    </row>
    <row r="127" spans="18:21" x14ac:dyDescent="0.25">
      <c r="R127" s="19"/>
      <c r="S127" s="23" t="s">
        <v>238</v>
      </c>
      <c r="T127" s="23" t="s">
        <v>186</v>
      </c>
      <c r="U127" s="23">
        <v>4990</v>
      </c>
    </row>
    <row r="128" spans="18:21" x14ac:dyDescent="0.25">
      <c r="R128" s="19"/>
      <c r="S128" s="23" t="s">
        <v>238</v>
      </c>
      <c r="T128" s="23" t="s">
        <v>209</v>
      </c>
      <c r="U128" s="23">
        <v>4979.6999999999898</v>
      </c>
    </row>
    <row r="129" spans="18:21" x14ac:dyDescent="0.25">
      <c r="R129" s="19"/>
      <c r="S129" s="23" t="s">
        <v>238</v>
      </c>
      <c r="T129" s="23" t="s">
        <v>214</v>
      </c>
      <c r="U129" s="23">
        <v>4924.0999999999904</v>
      </c>
    </row>
    <row r="130" spans="18:21" x14ac:dyDescent="0.25">
      <c r="R130" s="19"/>
      <c r="S130" s="23" t="s">
        <v>238</v>
      </c>
      <c r="T130" s="23" t="s">
        <v>211</v>
      </c>
      <c r="U130" s="23">
        <v>4913.1999999999898</v>
      </c>
    </row>
    <row r="131" spans="18:21" x14ac:dyDescent="0.25">
      <c r="R131" s="19"/>
      <c r="S131" s="23" t="s">
        <v>238</v>
      </c>
      <c r="T131" s="23" t="s">
        <v>194</v>
      </c>
      <c r="U131" s="23">
        <v>4814.3999999999996</v>
      </c>
    </row>
    <row r="132" spans="18:21" x14ac:dyDescent="0.25">
      <c r="R132" s="19"/>
      <c r="S132" s="23" t="s">
        <v>238</v>
      </c>
      <c r="T132" s="23" t="s">
        <v>185</v>
      </c>
      <c r="U132" s="23">
        <v>4732.5</v>
      </c>
    </row>
    <row r="133" spans="18:21" x14ac:dyDescent="0.25">
      <c r="R133" s="19"/>
      <c r="S133" s="23" t="s">
        <v>238</v>
      </c>
      <c r="T133" s="23" t="s">
        <v>195</v>
      </c>
      <c r="U133" s="23">
        <v>4713.6999999999898</v>
      </c>
    </row>
    <row r="134" spans="18:21" x14ac:dyDescent="0.25">
      <c r="R134" s="19"/>
      <c r="S134" s="23" t="s">
        <v>238</v>
      </c>
      <c r="T134" s="23" t="s">
        <v>196</v>
      </c>
      <c r="U134" s="23">
        <v>4664.2999999999902</v>
      </c>
    </row>
    <row r="135" spans="18:21" x14ac:dyDescent="0.25">
      <c r="R135" s="19"/>
      <c r="S135" s="23" t="s">
        <v>238</v>
      </c>
      <c r="T135" s="23" t="s">
        <v>213</v>
      </c>
      <c r="U135" s="23">
        <v>4580.0999999999904</v>
      </c>
    </row>
    <row r="136" spans="18:21" x14ac:dyDescent="0.25">
      <c r="R136" s="19"/>
      <c r="S136" s="23" t="s">
        <v>238</v>
      </c>
      <c r="T136" s="23" t="s">
        <v>201</v>
      </c>
      <c r="U136" s="23">
        <v>4574.3999999999896</v>
      </c>
    </row>
    <row r="137" spans="18:21" x14ac:dyDescent="0.25">
      <c r="R137" s="19"/>
      <c r="S137" s="23" t="s">
        <v>238</v>
      </c>
      <c r="T137" s="23" t="s">
        <v>204</v>
      </c>
      <c r="U137" s="23">
        <v>4421</v>
      </c>
    </row>
    <row r="138" spans="18:21" x14ac:dyDescent="0.25">
      <c r="R138" s="19"/>
      <c r="S138" s="23" t="s">
        <v>238</v>
      </c>
      <c r="T138" s="23" t="s">
        <v>193</v>
      </c>
      <c r="U138" s="23">
        <v>4394.5</v>
      </c>
    </row>
    <row r="139" spans="18:21" x14ac:dyDescent="0.25">
      <c r="R139" s="19"/>
      <c r="S139" s="23" t="s">
        <v>238</v>
      </c>
      <c r="T139" s="23" t="s">
        <v>197</v>
      </c>
      <c r="U139" s="23">
        <v>4362.6999999999898</v>
      </c>
    </row>
    <row r="140" spans="18:21" x14ac:dyDescent="0.25">
      <c r="R140" s="19"/>
      <c r="S140" s="23" t="s">
        <v>238</v>
      </c>
      <c r="T140" s="23" t="s">
        <v>202</v>
      </c>
      <c r="U140" s="23">
        <v>4297.5</v>
      </c>
    </row>
    <row r="141" spans="18:21" x14ac:dyDescent="0.25">
      <c r="R141" s="19"/>
      <c r="S141" s="23" t="s">
        <v>238</v>
      </c>
      <c r="T141" s="23" t="s">
        <v>203</v>
      </c>
      <c r="U141" s="23">
        <v>4195.3999999999996</v>
      </c>
    </row>
    <row r="142" spans="18:21" x14ac:dyDescent="0.25">
      <c r="R142" s="19"/>
      <c r="S142" s="23" t="s">
        <v>238</v>
      </c>
      <c r="T142" s="23" t="s">
        <v>206</v>
      </c>
      <c r="U142" s="23">
        <v>4183.2999999999902</v>
      </c>
    </row>
    <row r="143" spans="18:21" x14ac:dyDescent="0.25">
      <c r="R143" s="19"/>
      <c r="S143" s="23" t="s">
        <v>238</v>
      </c>
      <c r="T143" s="23" t="s">
        <v>200</v>
      </c>
      <c r="U143" s="23">
        <v>4056.3</v>
      </c>
    </row>
    <row r="144" spans="18:21" x14ac:dyDescent="0.25">
      <c r="R144" s="19"/>
      <c r="S144" s="23" t="s">
        <v>238</v>
      </c>
      <c r="T144" s="23" t="s">
        <v>207</v>
      </c>
      <c r="U144" s="23">
        <v>3972.2999999999902</v>
      </c>
    </row>
    <row r="145" spans="18:21" x14ac:dyDescent="0.25">
      <c r="R145" s="19"/>
      <c r="S145" s="23" t="s">
        <v>238</v>
      </c>
      <c r="T145" s="23" t="s">
        <v>223</v>
      </c>
      <c r="U145" s="23">
        <v>3918.2</v>
      </c>
    </row>
    <row r="146" spans="18:21" x14ac:dyDescent="0.25">
      <c r="R146" s="19"/>
      <c r="S146" s="23" t="s">
        <v>238</v>
      </c>
      <c r="T146" s="23" t="s">
        <v>115</v>
      </c>
      <c r="U146" s="23">
        <v>3836.9</v>
      </c>
    </row>
    <row r="147" spans="18:21" x14ac:dyDescent="0.25">
      <c r="R147" s="19"/>
      <c r="S147" s="23" t="s">
        <v>238</v>
      </c>
      <c r="T147" s="23" t="s">
        <v>182</v>
      </c>
      <c r="U147" s="23">
        <v>3614</v>
      </c>
    </row>
    <row r="148" spans="18:21" x14ac:dyDescent="0.25">
      <c r="R148" s="19"/>
      <c r="S148" s="23" t="s">
        <v>238</v>
      </c>
      <c r="T148" s="23" t="s">
        <v>192</v>
      </c>
      <c r="U148" s="23">
        <v>3534.1</v>
      </c>
    </row>
    <row r="149" spans="18:21" x14ac:dyDescent="0.25">
      <c r="R149" s="19"/>
      <c r="S149" s="23" t="s">
        <v>238</v>
      </c>
      <c r="T149" s="23" t="s">
        <v>222</v>
      </c>
      <c r="U149" s="23">
        <v>3522.0999999999899</v>
      </c>
    </row>
    <row r="150" spans="18:21" x14ac:dyDescent="0.25">
      <c r="R150" s="19"/>
      <c r="S150" s="23" t="s">
        <v>238</v>
      </c>
      <c r="T150" s="23" t="s">
        <v>226</v>
      </c>
      <c r="U150" s="23">
        <v>3459.6999999999898</v>
      </c>
    </row>
    <row r="151" spans="18:21" x14ac:dyDescent="0.25">
      <c r="R151" s="19"/>
      <c r="S151" s="23" t="s">
        <v>238</v>
      </c>
      <c r="T151" s="23" t="s">
        <v>229</v>
      </c>
      <c r="U151" s="23">
        <v>3296.1</v>
      </c>
    </row>
    <row r="152" spans="18:21" x14ac:dyDescent="0.25">
      <c r="R152" s="19"/>
      <c r="S152" s="23" t="s">
        <v>238</v>
      </c>
      <c r="T152" s="23" t="s">
        <v>208</v>
      </c>
      <c r="U152" s="23">
        <v>3251.99999999999</v>
      </c>
    </row>
    <row r="153" spans="18:21" x14ac:dyDescent="0.25">
      <c r="R153" s="19"/>
      <c r="S153" s="23" t="s">
        <v>238</v>
      </c>
      <c r="T153" s="23" t="s">
        <v>199</v>
      </c>
      <c r="U153" s="23">
        <v>3195.0999999999899</v>
      </c>
    </row>
    <row r="154" spans="18:21" x14ac:dyDescent="0.25">
      <c r="R154" s="19"/>
      <c r="S154" s="23" t="s">
        <v>238</v>
      </c>
      <c r="T154" s="23" t="s">
        <v>221</v>
      </c>
      <c r="U154" s="23">
        <v>3177.2999999999902</v>
      </c>
    </row>
    <row r="155" spans="18:21" x14ac:dyDescent="0.25">
      <c r="R155" s="19"/>
      <c r="S155" s="23" t="s">
        <v>238</v>
      </c>
      <c r="T155" s="23" t="s">
        <v>187</v>
      </c>
      <c r="U155" s="23">
        <v>3116.9</v>
      </c>
    </row>
    <row r="156" spans="18:21" x14ac:dyDescent="0.25">
      <c r="R156" s="19"/>
      <c r="S156" s="23" t="s">
        <v>238</v>
      </c>
      <c r="T156" s="23" t="s">
        <v>190</v>
      </c>
      <c r="U156" s="23">
        <v>3110.2999999999902</v>
      </c>
    </row>
    <row r="157" spans="18:21" x14ac:dyDescent="0.25">
      <c r="R157" s="19"/>
      <c r="S157" s="23" t="s">
        <v>238</v>
      </c>
      <c r="T157" s="23" t="s">
        <v>198</v>
      </c>
      <c r="U157" s="23">
        <v>3074.2</v>
      </c>
    </row>
    <row r="158" spans="18:21" x14ac:dyDescent="0.25">
      <c r="R158" s="19"/>
      <c r="S158" s="23" t="s">
        <v>238</v>
      </c>
      <c r="T158" s="23" t="s">
        <v>228</v>
      </c>
      <c r="U158" s="23">
        <v>2970</v>
      </c>
    </row>
    <row r="159" spans="18:21" x14ac:dyDescent="0.25">
      <c r="R159" s="19"/>
      <c r="S159" s="23" t="s">
        <v>238</v>
      </c>
      <c r="T159" s="23" t="s">
        <v>215</v>
      </c>
      <c r="U159" s="23">
        <v>2959.1</v>
      </c>
    </row>
    <row r="160" spans="18:21" x14ac:dyDescent="0.25">
      <c r="R160" s="19"/>
      <c r="S160" s="23" t="s">
        <v>238</v>
      </c>
      <c r="T160" s="23" t="s">
        <v>109</v>
      </c>
      <c r="U160" s="23">
        <v>2952.49999999999</v>
      </c>
    </row>
    <row r="161" spans="18:21" x14ac:dyDescent="0.25">
      <c r="R161" s="19"/>
      <c r="S161" s="23" t="s">
        <v>238</v>
      </c>
      <c r="T161" s="23" t="s">
        <v>126</v>
      </c>
      <c r="U161" s="23">
        <v>2916.3</v>
      </c>
    </row>
    <row r="162" spans="18:21" x14ac:dyDescent="0.25">
      <c r="R162" s="19"/>
      <c r="S162" s="23" t="s">
        <v>238</v>
      </c>
      <c r="T162" s="23" t="s">
        <v>122</v>
      </c>
      <c r="U162" s="23">
        <v>2670.3</v>
      </c>
    </row>
    <row r="163" spans="18:21" x14ac:dyDescent="0.25">
      <c r="R163" s="19"/>
      <c r="S163" s="23" t="s">
        <v>238</v>
      </c>
      <c r="T163" s="23" t="s">
        <v>227</v>
      </c>
      <c r="U163" s="23">
        <v>2594.6</v>
      </c>
    </row>
    <row r="164" spans="18:21" x14ac:dyDescent="0.25">
      <c r="R164" s="19"/>
      <c r="S164" s="23" t="s">
        <v>238</v>
      </c>
      <c r="T164" s="23" t="s">
        <v>205</v>
      </c>
      <c r="U164" s="23">
        <v>2584.1</v>
      </c>
    </row>
    <row r="165" spans="18:21" x14ac:dyDescent="0.25">
      <c r="R165" s="19"/>
      <c r="S165" s="23" t="s">
        <v>238</v>
      </c>
      <c r="T165" s="23" t="s">
        <v>225</v>
      </c>
      <c r="U165" s="23">
        <v>2547.6999999999998</v>
      </c>
    </row>
    <row r="166" spans="18:21" x14ac:dyDescent="0.25">
      <c r="R166" s="19"/>
      <c r="S166" s="23" t="s">
        <v>238</v>
      </c>
      <c r="T166" s="23" t="s">
        <v>224</v>
      </c>
      <c r="U166" s="23">
        <v>2531.4</v>
      </c>
    </row>
    <row r="167" spans="18:21" x14ac:dyDescent="0.25">
      <c r="R167" s="19"/>
      <c r="S167" s="23" t="s">
        <v>238</v>
      </c>
      <c r="T167" s="23" t="s">
        <v>218</v>
      </c>
      <c r="U167" s="23">
        <v>2464.5</v>
      </c>
    </row>
    <row r="168" spans="18:21" x14ac:dyDescent="0.25">
      <c r="R168" s="19"/>
      <c r="S168" s="23" t="s">
        <v>238</v>
      </c>
      <c r="T168" s="23" t="s">
        <v>220</v>
      </c>
      <c r="U168" s="23">
        <v>2256.99999999999</v>
      </c>
    </row>
    <row r="169" spans="18:21" x14ac:dyDescent="0.25">
      <c r="R169" s="19"/>
      <c r="S169" s="23" t="s">
        <v>238</v>
      </c>
      <c r="T169" s="23" t="s">
        <v>230</v>
      </c>
      <c r="U169" s="23">
        <v>2066.99999999999</v>
      </c>
    </row>
    <row r="170" spans="18:21" x14ac:dyDescent="0.25">
      <c r="R170" s="19"/>
      <c r="S170" s="23" t="s">
        <v>238</v>
      </c>
      <c r="T170" s="23" t="s">
        <v>120</v>
      </c>
      <c r="U170" s="23">
        <v>1836.9</v>
      </c>
    </row>
    <row r="171" spans="18:21" x14ac:dyDescent="0.25">
      <c r="R171" s="19"/>
      <c r="S171" s="23" t="s">
        <v>238</v>
      </c>
      <c r="T171" s="23" t="s">
        <v>217</v>
      </c>
      <c r="U171" s="23">
        <v>1793.6</v>
      </c>
    </row>
    <row r="172" spans="18:21" x14ac:dyDescent="0.25">
      <c r="R172" s="19"/>
      <c r="S172" s="23" t="s">
        <v>238</v>
      </c>
      <c r="T172" s="23" t="s">
        <v>233</v>
      </c>
      <c r="U172" s="23">
        <v>1642.5999999999899</v>
      </c>
    </row>
    <row r="173" spans="18:21" x14ac:dyDescent="0.25">
      <c r="R173" s="19"/>
      <c r="S173" s="23" t="s">
        <v>238</v>
      </c>
      <c r="T173" s="23" t="s">
        <v>236</v>
      </c>
      <c r="U173" s="23">
        <v>1630.7</v>
      </c>
    </row>
    <row r="174" spans="18:21" x14ac:dyDescent="0.25">
      <c r="R174" s="19"/>
      <c r="S174" s="23" t="s">
        <v>238</v>
      </c>
      <c r="T174" s="23" t="s">
        <v>216</v>
      </c>
      <c r="U174" s="23">
        <v>1578.2</v>
      </c>
    </row>
    <row r="175" spans="18:21" x14ac:dyDescent="0.25">
      <c r="R175" s="19"/>
      <c r="S175" s="23" t="s">
        <v>238</v>
      </c>
      <c r="T175" s="23" t="s">
        <v>128</v>
      </c>
      <c r="U175" s="23">
        <v>1537</v>
      </c>
    </row>
    <row r="176" spans="18:21" x14ac:dyDescent="0.25">
      <c r="R176" s="19"/>
      <c r="S176" s="23" t="s">
        <v>238</v>
      </c>
      <c r="T176" s="23" t="s">
        <v>231</v>
      </c>
      <c r="U176" s="23">
        <v>1415.3</v>
      </c>
    </row>
    <row r="177" spans="18:21" x14ac:dyDescent="0.25">
      <c r="R177" s="19"/>
      <c r="S177" s="23" t="s">
        <v>238</v>
      </c>
      <c r="T177" s="23" t="s">
        <v>219</v>
      </c>
      <c r="U177" s="23">
        <v>1328.3</v>
      </c>
    </row>
    <row r="178" spans="18:21" x14ac:dyDescent="0.25">
      <c r="R178" s="19"/>
      <c r="S178" s="23" t="s">
        <v>238</v>
      </c>
      <c r="T178" s="23" t="s">
        <v>237</v>
      </c>
      <c r="U178" s="23">
        <v>1277.5999999999999</v>
      </c>
    </row>
    <row r="179" spans="18:21" x14ac:dyDescent="0.25">
      <c r="R179" s="19"/>
      <c r="S179" s="23" t="s">
        <v>238</v>
      </c>
      <c r="T179" s="23" t="s">
        <v>235</v>
      </c>
      <c r="U179" s="23">
        <v>1256.4000000000001</v>
      </c>
    </row>
    <row r="180" spans="18:21" x14ac:dyDescent="0.25">
      <c r="R180" s="19"/>
      <c r="S180" s="23" t="s">
        <v>238</v>
      </c>
      <c r="T180" s="23" t="s">
        <v>234</v>
      </c>
      <c r="U180" s="23">
        <v>1255.8</v>
      </c>
    </row>
    <row r="181" spans="18:21" x14ac:dyDescent="0.25">
      <c r="R181" s="19"/>
      <c r="S181" s="23" t="s">
        <v>238</v>
      </c>
      <c r="T181" s="23" t="s">
        <v>232</v>
      </c>
      <c r="U181" s="23">
        <v>1160.4000000000001</v>
      </c>
    </row>
    <row r="182" spans="18:21" x14ac:dyDescent="0.25">
      <c r="R182" s="19"/>
      <c r="S182" s="23" t="s">
        <v>239</v>
      </c>
      <c r="T182" s="23" t="s">
        <v>159</v>
      </c>
      <c r="U182" s="23">
        <v>13940.699999999901</v>
      </c>
    </row>
    <row r="183" spans="18:21" x14ac:dyDescent="0.25">
      <c r="R183" s="19"/>
      <c r="S183" s="23" t="s">
        <v>239</v>
      </c>
      <c r="T183" s="23" t="s">
        <v>160</v>
      </c>
      <c r="U183" s="23">
        <v>13753.3999999999</v>
      </c>
    </row>
    <row r="184" spans="18:21" x14ac:dyDescent="0.25">
      <c r="R184" s="19"/>
      <c r="S184" s="23" t="s">
        <v>239</v>
      </c>
      <c r="T184" s="23" t="s">
        <v>162</v>
      </c>
      <c r="U184" s="23">
        <v>13544.199999999901</v>
      </c>
    </row>
    <row r="185" spans="18:21" x14ac:dyDescent="0.25">
      <c r="R185" s="19"/>
      <c r="S185" s="23" t="s">
        <v>239</v>
      </c>
      <c r="T185" s="23" t="s">
        <v>161</v>
      </c>
      <c r="U185" s="23">
        <v>12743.7</v>
      </c>
    </row>
    <row r="186" spans="18:21" x14ac:dyDescent="0.25">
      <c r="R186" s="19"/>
      <c r="S186" s="23" t="s">
        <v>239</v>
      </c>
      <c r="T186" s="23" t="s">
        <v>164</v>
      </c>
      <c r="U186" s="23">
        <v>11182.7</v>
      </c>
    </row>
    <row r="187" spans="18:21" x14ac:dyDescent="0.25">
      <c r="R187" s="19"/>
      <c r="S187" s="23" t="s">
        <v>239</v>
      </c>
      <c r="T187" s="23" t="s">
        <v>173</v>
      </c>
      <c r="U187" s="23">
        <v>10288.4</v>
      </c>
    </row>
    <row r="188" spans="18:21" x14ac:dyDescent="0.25">
      <c r="R188" s="19"/>
      <c r="S188" s="23" t="s">
        <v>239</v>
      </c>
      <c r="T188" s="23" t="s">
        <v>167</v>
      </c>
      <c r="U188" s="23">
        <v>9736.2000000000007</v>
      </c>
    </row>
    <row r="189" spans="18:21" x14ac:dyDescent="0.25">
      <c r="R189" s="19"/>
      <c r="S189" s="23" t="s">
        <v>239</v>
      </c>
      <c r="T189" s="23" t="s">
        <v>163</v>
      </c>
      <c r="U189" s="23">
        <v>9395.0999999999894</v>
      </c>
    </row>
    <row r="190" spans="18:21" x14ac:dyDescent="0.25">
      <c r="R190" s="19"/>
      <c r="S190" s="23" t="s">
        <v>239</v>
      </c>
      <c r="T190" s="23" t="s">
        <v>130</v>
      </c>
      <c r="U190" s="23">
        <v>8853.1999999999898</v>
      </c>
    </row>
    <row r="191" spans="18:21" x14ac:dyDescent="0.25">
      <c r="R191" s="19"/>
      <c r="S191" s="23" t="s">
        <v>239</v>
      </c>
      <c r="T191" s="23" t="s">
        <v>170</v>
      </c>
      <c r="U191" s="23">
        <v>8809.7000000000007</v>
      </c>
    </row>
    <row r="192" spans="18:21" x14ac:dyDescent="0.25">
      <c r="R192" s="19"/>
      <c r="S192" s="23" t="s">
        <v>239</v>
      </c>
      <c r="T192" s="23" t="s">
        <v>112</v>
      </c>
      <c r="U192" s="23">
        <v>8669.3999999999905</v>
      </c>
    </row>
    <row r="193" spans="18:21" x14ac:dyDescent="0.25">
      <c r="R193" s="19"/>
      <c r="S193" s="23" t="s">
        <v>239</v>
      </c>
      <c r="T193" s="23" t="s">
        <v>176</v>
      </c>
      <c r="U193" s="23">
        <v>8538.9999999999909</v>
      </c>
    </row>
    <row r="194" spans="18:21" x14ac:dyDescent="0.25">
      <c r="R194" s="19"/>
      <c r="S194" s="23" t="s">
        <v>239</v>
      </c>
      <c r="T194" s="23" t="s">
        <v>169</v>
      </c>
      <c r="U194" s="23">
        <v>8347.2999999999902</v>
      </c>
    </row>
    <row r="195" spans="18:21" x14ac:dyDescent="0.25">
      <c r="R195" s="19"/>
      <c r="S195" s="23" t="s">
        <v>239</v>
      </c>
      <c r="T195" s="23" t="s">
        <v>172</v>
      </c>
      <c r="U195" s="23">
        <v>7983.6999999999898</v>
      </c>
    </row>
    <row r="196" spans="18:21" x14ac:dyDescent="0.25">
      <c r="R196" s="19"/>
      <c r="S196" s="23" t="s">
        <v>239</v>
      </c>
      <c r="T196" s="23" t="s">
        <v>171</v>
      </c>
      <c r="U196" s="23">
        <v>7975.3999999999896</v>
      </c>
    </row>
    <row r="197" spans="18:21" x14ac:dyDescent="0.25">
      <c r="R197" s="19"/>
      <c r="S197" s="23" t="s">
        <v>239</v>
      </c>
      <c r="T197" s="23" t="s">
        <v>168</v>
      </c>
      <c r="U197" s="23">
        <v>7914.99999999999</v>
      </c>
    </row>
    <row r="198" spans="18:21" x14ac:dyDescent="0.25">
      <c r="R198" s="19"/>
      <c r="S198" s="23" t="s">
        <v>239</v>
      </c>
      <c r="T198" s="23" t="s">
        <v>165</v>
      </c>
      <c r="U198" s="23">
        <v>7219.7999999999902</v>
      </c>
    </row>
    <row r="199" spans="18:21" x14ac:dyDescent="0.25">
      <c r="R199" s="19"/>
      <c r="S199" s="23" t="s">
        <v>239</v>
      </c>
      <c r="T199" s="23" t="s">
        <v>166</v>
      </c>
      <c r="U199" s="23">
        <v>7012.49999999999</v>
      </c>
    </row>
    <row r="200" spans="18:21" x14ac:dyDescent="0.25">
      <c r="R200" s="19"/>
      <c r="S200" s="23" t="s">
        <v>239</v>
      </c>
      <c r="T200" s="23" t="s">
        <v>181</v>
      </c>
      <c r="U200" s="23">
        <v>6976.6</v>
      </c>
    </row>
    <row r="201" spans="18:21" x14ac:dyDescent="0.25">
      <c r="R201" s="19"/>
      <c r="S201" s="23" t="s">
        <v>239</v>
      </c>
      <c r="T201" s="23" t="s">
        <v>177</v>
      </c>
      <c r="U201" s="23">
        <v>6763.0999999999904</v>
      </c>
    </row>
    <row r="202" spans="18:21" x14ac:dyDescent="0.25">
      <c r="R202" s="19"/>
      <c r="S202" s="23" t="s">
        <v>239</v>
      </c>
      <c r="T202" s="23" t="s">
        <v>174</v>
      </c>
      <c r="U202" s="23">
        <v>6324.2999999999902</v>
      </c>
    </row>
    <row r="203" spans="18:21" x14ac:dyDescent="0.25">
      <c r="R203" s="19"/>
      <c r="S203" s="23" t="s">
        <v>239</v>
      </c>
      <c r="T203" s="23" t="s">
        <v>184</v>
      </c>
      <c r="U203" s="23">
        <v>6166.1</v>
      </c>
    </row>
    <row r="204" spans="18:21" x14ac:dyDescent="0.25">
      <c r="R204" s="19"/>
      <c r="S204" s="23" t="s">
        <v>239</v>
      </c>
      <c r="T204" s="23" t="s">
        <v>183</v>
      </c>
      <c r="U204" s="23">
        <v>5884.8999999999896</v>
      </c>
    </row>
    <row r="205" spans="18:21" x14ac:dyDescent="0.25">
      <c r="R205" s="19"/>
      <c r="S205" s="23" t="s">
        <v>239</v>
      </c>
      <c r="T205" s="23" t="s">
        <v>197</v>
      </c>
      <c r="U205" s="23">
        <v>5649.1</v>
      </c>
    </row>
    <row r="206" spans="18:21" x14ac:dyDescent="0.25">
      <c r="R206" s="19"/>
      <c r="S206" s="23" t="s">
        <v>239</v>
      </c>
      <c r="T206" s="23" t="s">
        <v>124</v>
      </c>
      <c r="U206" s="23">
        <v>5557.5999999999904</v>
      </c>
    </row>
    <row r="207" spans="18:21" x14ac:dyDescent="0.25">
      <c r="R207" s="19"/>
      <c r="S207" s="23" t="s">
        <v>239</v>
      </c>
      <c r="T207" s="23" t="s">
        <v>180</v>
      </c>
      <c r="U207" s="23">
        <v>5540.8999999999896</v>
      </c>
    </row>
    <row r="208" spans="18:21" x14ac:dyDescent="0.25">
      <c r="R208" s="19"/>
      <c r="S208" s="23" t="s">
        <v>239</v>
      </c>
      <c r="T208" s="23" t="s">
        <v>178</v>
      </c>
      <c r="U208" s="23">
        <v>5526.2999999999902</v>
      </c>
    </row>
    <row r="209" spans="18:21" x14ac:dyDescent="0.25">
      <c r="R209" s="19"/>
      <c r="S209" s="23" t="s">
        <v>239</v>
      </c>
      <c r="T209" s="23" t="s">
        <v>175</v>
      </c>
      <c r="U209" s="23">
        <v>5520.0999999999904</v>
      </c>
    </row>
    <row r="210" spans="18:21" x14ac:dyDescent="0.25">
      <c r="R210" s="19"/>
      <c r="S210" s="23" t="s">
        <v>239</v>
      </c>
      <c r="T210" s="23" t="s">
        <v>179</v>
      </c>
      <c r="U210" s="23">
        <v>5394.0999999999904</v>
      </c>
    </row>
    <row r="211" spans="18:21" x14ac:dyDescent="0.25">
      <c r="R211" s="19"/>
      <c r="S211" s="23" t="s">
        <v>239</v>
      </c>
      <c r="T211" s="23" t="s">
        <v>203</v>
      </c>
      <c r="U211" s="23">
        <v>5313.99999999999</v>
      </c>
    </row>
    <row r="212" spans="18:21" x14ac:dyDescent="0.25">
      <c r="R212" s="19"/>
      <c r="S212" s="23" t="s">
        <v>239</v>
      </c>
      <c r="T212" s="23" t="s">
        <v>191</v>
      </c>
      <c r="U212" s="23">
        <v>4819.5999999999904</v>
      </c>
    </row>
    <row r="213" spans="18:21" x14ac:dyDescent="0.25">
      <c r="R213" s="19"/>
      <c r="S213" s="23" t="s">
        <v>239</v>
      </c>
      <c r="T213" s="23" t="s">
        <v>189</v>
      </c>
      <c r="U213" s="23">
        <v>4804.8</v>
      </c>
    </row>
    <row r="214" spans="18:21" x14ac:dyDescent="0.25">
      <c r="R214" s="19"/>
      <c r="S214" s="23" t="s">
        <v>239</v>
      </c>
      <c r="T214" s="23" t="s">
        <v>211</v>
      </c>
      <c r="U214" s="23">
        <v>4687.7</v>
      </c>
    </row>
    <row r="215" spans="18:21" x14ac:dyDescent="0.25">
      <c r="R215" s="19"/>
      <c r="S215" s="23" t="s">
        <v>239</v>
      </c>
      <c r="T215" s="23" t="s">
        <v>204</v>
      </c>
      <c r="U215" s="23">
        <v>4594.7</v>
      </c>
    </row>
    <row r="216" spans="18:21" x14ac:dyDescent="0.25">
      <c r="R216" s="19"/>
      <c r="S216" s="23" t="s">
        <v>239</v>
      </c>
      <c r="T216" s="23" t="s">
        <v>193</v>
      </c>
      <c r="U216" s="23">
        <v>4547.99999999999</v>
      </c>
    </row>
    <row r="217" spans="18:21" x14ac:dyDescent="0.25">
      <c r="R217" s="19"/>
      <c r="S217" s="23" t="s">
        <v>239</v>
      </c>
      <c r="T217" s="23" t="s">
        <v>214</v>
      </c>
      <c r="U217" s="23">
        <v>4536.3999999999996</v>
      </c>
    </row>
    <row r="218" spans="18:21" x14ac:dyDescent="0.25">
      <c r="R218" s="19"/>
      <c r="S218" s="23" t="s">
        <v>239</v>
      </c>
      <c r="T218" s="23" t="s">
        <v>194</v>
      </c>
      <c r="U218" s="23">
        <v>4493.7</v>
      </c>
    </row>
    <row r="219" spans="18:21" x14ac:dyDescent="0.25">
      <c r="R219" s="19"/>
      <c r="S219" s="23" t="s">
        <v>239</v>
      </c>
      <c r="T219" s="23" t="s">
        <v>196</v>
      </c>
      <c r="U219" s="23">
        <v>4491.0999999999904</v>
      </c>
    </row>
    <row r="220" spans="18:21" x14ac:dyDescent="0.25">
      <c r="R220" s="19"/>
      <c r="S220" s="23" t="s">
        <v>239</v>
      </c>
      <c r="T220" s="23" t="s">
        <v>188</v>
      </c>
      <c r="U220" s="23">
        <v>4444</v>
      </c>
    </row>
    <row r="221" spans="18:21" x14ac:dyDescent="0.25">
      <c r="R221" s="19"/>
      <c r="S221" s="23" t="s">
        <v>239</v>
      </c>
      <c r="T221" s="23" t="s">
        <v>202</v>
      </c>
      <c r="U221" s="23">
        <v>4279</v>
      </c>
    </row>
    <row r="222" spans="18:21" x14ac:dyDescent="0.25">
      <c r="R222" s="19"/>
      <c r="S222" s="23" t="s">
        <v>239</v>
      </c>
      <c r="T222" s="23" t="s">
        <v>212</v>
      </c>
      <c r="U222" s="23">
        <v>4208.6000000000004</v>
      </c>
    </row>
    <row r="223" spans="18:21" x14ac:dyDescent="0.25">
      <c r="R223" s="19"/>
      <c r="S223" s="23" t="s">
        <v>239</v>
      </c>
      <c r="T223" s="23" t="s">
        <v>115</v>
      </c>
      <c r="U223" s="23">
        <v>4147.3999999999996</v>
      </c>
    </row>
    <row r="224" spans="18:21" x14ac:dyDescent="0.25">
      <c r="R224" s="19"/>
      <c r="S224" s="23" t="s">
        <v>239</v>
      </c>
      <c r="T224" s="23" t="s">
        <v>201</v>
      </c>
      <c r="U224" s="23">
        <v>4016.49999999999</v>
      </c>
    </row>
    <row r="225" spans="18:21" x14ac:dyDescent="0.25">
      <c r="R225" s="19"/>
      <c r="S225" s="23" t="s">
        <v>239</v>
      </c>
      <c r="T225" s="23" t="s">
        <v>209</v>
      </c>
      <c r="U225" s="23">
        <v>4000.8999999999901</v>
      </c>
    </row>
    <row r="226" spans="18:21" x14ac:dyDescent="0.25">
      <c r="R226" s="19"/>
      <c r="S226" s="23" t="s">
        <v>239</v>
      </c>
      <c r="T226" s="23" t="s">
        <v>213</v>
      </c>
      <c r="U226" s="23">
        <v>3991.8</v>
      </c>
    </row>
    <row r="227" spans="18:21" x14ac:dyDescent="0.25">
      <c r="R227" s="19"/>
      <c r="S227" s="23" t="s">
        <v>239</v>
      </c>
      <c r="T227" s="23" t="s">
        <v>207</v>
      </c>
      <c r="U227" s="23">
        <v>3928.1</v>
      </c>
    </row>
    <row r="228" spans="18:21" x14ac:dyDescent="0.25">
      <c r="R228" s="19"/>
      <c r="S228" s="23" t="s">
        <v>239</v>
      </c>
      <c r="T228" s="23" t="s">
        <v>185</v>
      </c>
      <c r="U228" s="23">
        <v>3844.3</v>
      </c>
    </row>
    <row r="229" spans="18:21" x14ac:dyDescent="0.25">
      <c r="R229" s="19"/>
      <c r="S229" s="23" t="s">
        <v>239</v>
      </c>
      <c r="T229" s="23" t="s">
        <v>200</v>
      </c>
      <c r="U229" s="23">
        <v>3829.2</v>
      </c>
    </row>
    <row r="230" spans="18:21" x14ac:dyDescent="0.25">
      <c r="R230" s="19"/>
      <c r="S230" s="23" t="s">
        <v>239</v>
      </c>
      <c r="T230" s="23" t="s">
        <v>195</v>
      </c>
      <c r="U230" s="23">
        <v>3573.3</v>
      </c>
    </row>
    <row r="231" spans="18:21" x14ac:dyDescent="0.25">
      <c r="R231" s="19"/>
      <c r="S231" s="23" t="s">
        <v>239</v>
      </c>
      <c r="T231" s="23" t="s">
        <v>206</v>
      </c>
      <c r="U231" s="23">
        <v>3567.1999999999898</v>
      </c>
    </row>
    <row r="232" spans="18:21" x14ac:dyDescent="0.25">
      <c r="R232" s="19"/>
      <c r="S232" s="23" t="s">
        <v>239</v>
      </c>
      <c r="T232" s="23" t="s">
        <v>205</v>
      </c>
      <c r="U232" s="23">
        <v>3536.5999999999899</v>
      </c>
    </row>
    <row r="233" spans="18:21" x14ac:dyDescent="0.25">
      <c r="R233" s="19"/>
      <c r="S233" s="23" t="s">
        <v>239</v>
      </c>
      <c r="T233" s="23" t="s">
        <v>224</v>
      </c>
      <c r="U233" s="23">
        <v>3514.9</v>
      </c>
    </row>
    <row r="234" spans="18:21" x14ac:dyDescent="0.25">
      <c r="R234" s="19"/>
      <c r="S234" s="23" t="s">
        <v>239</v>
      </c>
      <c r="T234" s="23" t="s">
        <v>210</v>
      </c>
      <c r="U234" s="23">
        <v>3451.1999999999898</v>
      </c>
    </row>
    <row r="235" spans="18:21" x14ac:dyDescent="0.25">
      <c r="R235" s="19"/>
      <c r="S235" s="23" t="s">
        <v>239</v>
      </c>
      <c r="T235" s="23" t="s">
        <v>222</v>
      </c>
      <c r="U235" s="23">
        <v>3365.99999999999</v>
      </c>
    </row>
    <row r="236" spans="18:21" x14ac:dyDescent="0.25">
      <c r="R236" s="19"/>
      <c r="S236" s="23" t="s">
        <v>239</v>
      </c>
      <c r="T236" s="23" t="s">
        <v>190</v>
      </c>
      <c r="U236" s="23">
        <v>3287.8999999999901</v>
      </c>
    </row>
    <row r="237" spans="18:21" x14ac:dyDescent="0.25">
      <c r="R237" s="19"/>
      <c r="S237" s="23" t="s">
        <v>239</v>
      </c>
      <c r="T237" s="23" t="s">
        <v>221</v>
      </c>
      <c r="U237" s="23">
        <v>3209.1999999999898</v>
      </c>
    </row>
    <row r="238" spans="18:21" x14ac:dyDescent="0.25">
      <c r="R238" s="19"/>
      <c r="S238" s="23" t="s">
        <v>239</v>
      </c>
      <c r="T238" s="23" t="s">
        <v>208</v>
      </c>
      <c r="U238" s="23">
        <v>3160.6</v>
      </c>
    </row>
    <row r="239" spans="18:21" x14ac:dyDescent="0.25">
      <c r="R239" s="19"/>
      <c r="S239" s="23" t="s">
        <v>239</v>
      </c>
      <c r="T239" s="23" t="s">
        <v>126</v>
      </c>
      <c r="U239" s="23">
        <v>3158.9</v>
      </c>
    </row>
    <row r="240" spans="18:21" x14ac:dyDescent="0.25">
      <c r="R240" s="19"/>
      <c r="S240" s="23" t="s">
        <v>239</v>
      </c>
      <c r="T240" s="23" t="s">
        <v>186</v>
      </c>
      <c r="U240" s="23">
        <v>3156.6</v>
      </c>
    </row>
    <row r="241" spans="18:21" x14ac:dyDescent="0.25">
      <c r="R241" s="19"/>
      <c r="S241" s="23" t="s">
        <v>239</v>
      </c>
      <c r="T241" s="23" t="s">
        <v>227</v>
      </c>
      <c r="U241" s="23">
        <v>3143.4</v>
      </c>
    </row>
    <row r="242" spans="18:21" x14ac:dyDescent="0.25">
      <c r="R242" s="19"/>
      <c r="S242" s="23" t="s">
        <v>239</v>
      </c>
      <c r="T242" s="23" t="s">
        <v>192</v>
      </c>
      <c r="U242" s="23">
        <v>3082.1</v>
      </c>
    </row>
    <row r="243" spans="18:21" x14ac:dyDescent="0.25">
      <c r="R243" s="19"/>
      <c r="S243" s="23" t="s">
        <v>239</v>
      </c>
      <c r="T243" s="23" t="s">
        <v>182</v>
      </c>
      <c r="U243" s="23">
        <v>3075.7999999999902</v>
      </c>
    </row>
    <row r="244" spans="18:21" x14ac:dyDescent="0.25">
      <c r="R244" s="19"/>
      <c r="S244" s="23" t="s">
        <v>239</v>
      </c>
      <c r="T244" s="23" t="s">
        <v>225</v>
      </c>
      <c r="U244" s="23">
        <v>3060.5999999999899</v>
      </c>
    </row>
    <row r="245" spans="18:21" x14ac:dyDescent="0.25">
      <c r="R245" s="19"/>
      <c r="S245" s="23" t="s">
        <v>239</v>
      </c>
      <c r="T245" s="23" t="s">
        <v>223</v>
      </c>
      <c r="U245" s="23">
        <v>3028.9</v>
      </c>
    </row>
    <row r="246" spans="18:21" x14ac:dyDescent="0.25">
      <c r="R246" s="19"/>
      <c r="S246" s="23" t="s">
        <v>239</v>
      </c>
      <c r="T246" s="23" t="s">
        <v>198</v>
      </c>
      <c r="U246" s="23">
        <v>3015.4</v>
      </c>
    </row>
    <row r="247" spans="18:21" x14ac:dyDescent="0.25">
      <c r="R247" s="19"/>
      <c r="S247" s="23" t="s">
        <v>239</v>
      </c>
      <c r="T247" s="23" t="s">
        <v>122</v>
      </c>
      <c r="U247" s="23">
        <v>2951.49999999999</v>
      </c>
    </row>
    <row r="248" spans="18:21" x14ac:dyDescent="0.25">
      <c r="R248" s="19"/>
      <c r="S248" s="23" t="s">
        <v>239</v>
      </c>
      <c r="T248" s="23" t="s">
        <v>228</v>
      </c>
      <c r="U248" s="23">
        <v>2948.3</v>
      </c>
    </row>
    <row r="249" spans="18:21" x14ac:dyDescent="0.25">
      <c r="R249" s="19"/>
      <c r="S249" s="23" t="s">
        <v>239</v>
      </c>
      <c r="T249" s="23" t="s">
        <v>199</v>
      </c>
      <c r="U249" s="23">
        <v>2887.4</v>
      </c>
    </row>
    <row r="250" spans="18:21" x14ac:dyDescent="0.25">
      <c r="R250" s="19"/>
      <c r="S250" s="23" t="s">
        <v>239</v>
      </c>
      <c r="T250" s="23" t="s">
        <v>218</v>
      </c>
      <c r="U250" s="23">
        <v>2742.6</v>
      </c>
    </row>
    <row r="251" spans="18:21" x14ac:dyDescent="0.25">
      <c r="R251" s="19"/>
      <c r="S251" s="23" t="s">
        <v>239</v>
      </c>
      <c r="T251" s="23" t="s">
        <v>187</v>
      </c>
      <c r="U251" s="23">
        <v>2713.7</v>
      </c>
    </row>
    <row r="252" spans="18:21" x14ac:dyDescent="0.25">
      <c r="R252" s="19"/>
      <c r="S252" s="23" t="s">
        <v>239</v>
      </c>
      <c r="T252" s="23" t="s">
        <v>220</v>
      </c>
      <c r="U252" s="23">
        <v>2650.3999999999901</v>
      </c>
    </row>
    <row r="253" spans="18:21" x14ac:dyDescent="0.25">
      <c r="R253" s="19"/>
      <c r="S253" s="23" t="s">
        <v>239</v>
      </c>
      <c r="T253" s="23" t="s">
        <v>226</v>
      </c>
      <c r="U253" s="23">
        <v>2590.1</v>
      </c>
    </row>
    <row r="254" spans="18:21" x14ac:dyDescent="0.25">
      <c r="R254" s="19"/>
      <c r="S254" s="23" t="s">
        <v>239</v>
      </c>
      <c r="T254" s="23" t="s">
        <v>229</v>
      </c>
      <c r="U254" s="23">
        <v>2560.1999999999998</v>
      </c>
    </row>
    <row r="255" spans="18:21" x14ac:dyDescent="0.25">
      <c r="R255" s="19"/>
      <c r="S255" s="23" t="s">
        <v>239</v>
      </c>
      <c r="T255" s="23" t="s">
        <v>109</v>
      </c>
      <c r="U255" s="23">
        <v>2547.1999999999998</v>
      </c>
    </row>
    <row r="256" spans="18:21" x14ac:dyDescent="0.25">
      <c r="R256" s="19"/>
      <c r="S256" s="23" t="s">
        <v>239</v>
      </c>
      <c r="T256" s="23" t="s">
        <v>231</v>
      </c>
      <c r="U256" s="23">
        <v>2181.7999999999902</v>
      </c>
    </row>
    <row r="257" spans="18:21" x14ac:dyDescent="0.25">
      <c r="R257" s="19"/>
      <c r="S257" s="23" t="s">
        <v>239</v>
      </c>
      <c r="T257" s="23" t="s">
        <v>215</v>
      </c>
      <c r="U257" s="23">
        <v>2171.1</v>
      </c>
    </row>
    <row r="258" spans="18:21" x14ac:dyDescent="0.25">
      <c r="R258" s="19"/>
      <c r="S258" s="23" t="s">
        <v>239</v>
      </c>
      <c r="T258" s="23" t="s">
        <v>236</v>
      </c>
      <c r="U258" s="23">
        <v>1958.8</v>
      </c>
    </row>
    <row r="259" spans="18:21" x14ac:dyDescent="0.25">
      <c r="R259" s="19"/>
      <c r="S259" s="23" t="s">
        <v>239</v>
      </c>
      <c r="T259" s="23" t="s">
        <v>216</v>
      </c>
      <c r="U259" s="23">
        <v>1916.8999999999901</v>
      </c>
    </row>
    <row r="260" spans="18:21" x14ac:dyDescent="0.25">
      <c r="R260" s="19"/>
      <c r="S260" s="23" t="s">
        <v>239</v>
      </c>
      <c r="T260" s="23" t="s">
        <v>219</v>
      </c>
      <c r="U260" s="23">
        <v>1717.8999999999901</v>
      </c>
    </row>
    <row r="261" spans="18:21" x14ac:dyDescent="0.25">
      <c r="R261" s="19"/>
      <c r="S261" s="23" t="s">
        <v>239</v>
      </c>
      <c r="T261" s="23" t="s">
        <v>120</v>
      </c>
      <c r="U261" s="23">
        <v>1639.19999999999</v>
      </c>
    </row>
    <row r="262" spans="18:21" x14ac:dyDescent="0.25">
      <c r="R262" s="19"/>
      <c r="S262" s="23" t="s">
        <v>239</v>
      </c>
      <c r="T262" s="23" t="s">
        <v>237</v>
      </c>
      <c r="U262" s="23">
        <v>1613.9</v>
      </c>
    </row>
    <row r="263" spans="18:21" x14ac:dyDescent="0.25">
      <c r="R263" s="19"/>
      <c r="S263" s="23" t="s">
        <v>239</v>
      </c>
      <c r="T263" s="23" t="s">
        <v>234</v>
      </c>
      <c r="U263" s="23">
        <v>1597.1</v>
      </c>
    </row>
    <row r="264" spans="18:21" x14ac:dyDescent="0.25">
      <c r="R264" s="19"/>
      <c r="S264" s="23" t="s">
        <v>239</v>
      </c>
      <c r="T264" s="23" t="s">
        <v>128</v>
      </c>
      <c r="U264" s="23">
        <v>1546</v>
      </c>
    </row>
    <row r="265" spans="18:21" x14ac:dyDescent="0.25">
      <c r="R265" s="19"/>
      <c r="S265" s="23" t="s">
        <v>239</v>
      </c>
      <c r="T265" s="23" t="s">
        <v>233</v>
      </c>
      <c r="U265" s="23">
        <v>1370.2</v>
      </c>
    </row>
    <row r="266" spans="18:21" x14ac:dyDescent="0.25">
      <c r="R266" s="19"/>
      <c r="S266" s="23" t="s">
        <v>239</v>
      </c>
      <c r="T266" s="23" t="s">
        <v>232</v>
      </c>
      <c r="U266" s="23">
        <v>1290.69999999999</v>
      </c>
    </row>
    <row r="267" spans="18:21" x14ac:dyDescent="0.25">
      <c r="R267" s="19"/>
      <c r="S267" s="23" t="s">
        <v>239</v>
      </c>
      <c r="T267" s="23" t="s">
        <v>217</v>
      </c>
      <c r="U267" s="23">
        <v>1241.5</v>
      </c>
    </row>
    <row r="268" spans="18:21" x14ac:dyDescent="0.25">
      <c r="R268" s="19"/>
      <c r="S268" s="23" t="s">
        <v>239</v>
      </c>
      <c r="T268" s="23" t="s">
        <v>230</v>
      </c>
      <c r="U268" s="23">
        <v>1040.3999999999901</v>
      </c>
    </row>
    <row r="269" spans="18:21" x14ac:dyDescent="0.25">
      <c r="R269" s="19"/>
      <c r="S269" s="23" t="s">
        <v>239</v>
      </c>
      <c r="T269" s="23" t="s">
        <v>235</v>
      </c>
      <c r="U269" s="23">
        <v>874.49999999999898</v>
      </c>
    </row>
    <row r="270" spans="18:21" x14ac:dyDescent="0.25">
      <c r="R270" s="19"/>
      <c r="S270" s="23" t="s">
        <v>240</v>
      </c>
      <c r="T270" s="23" t="s">
        <v>159</v>
      </c>
      <c r="U270" s="23">
        <v>13723.3999999999</v>
      </c>
    </row>
    <row r="271" spans="18:21" x14ac:dyDescent="0.25">
      <c r="R271" s="19"/>
      <c r="S271" s="23" t="s">
        <v>240</v>
      </c>
      <c r="T271" s="23" t="s">
        <v>160</v>
      </c>
      <c r="U271" s="23">
        <v>12962.9</v>
      </c>
    </row>
    <row r="272" spans="18:21" x14ac:dyDescent="0.25">
      <c r="R272" s="19"/>
      <c r="S272" s="23" t="s">
        <v>240</v>
      </c>
      <c r="T272" s="23" t="s">
        <v>161</v>
      </c>
      <c r="U272" s="23">
        <v>12848.7</v>
      </c>
    </row>
    <row r="273" spans="18:21" x14ac:dyDescent="0.25">
      <c r="R273" s="19"/>
      <c r="S273" s="23" t="s">
        <v>240</v>
      </c>
      <c r="T273" s="23" t="s">
        <v>162</v>
      </c>
      <c r="U273" s="23">
        <v>11061.299999999899</v>
      </c>
    </row>
    <row r="274" spans="18:21" x14ac:dyDescent="0.25">
      <c r="R274" s="19"/>
      <c r="S274" s="23" t="s">
        <v>240</v>
      </c>
      <c r="T274" s="23" t="s">
        <v>167</v>
      </c>
      <c r="U274" s="23">
        <v>9996.5999999999894</v>
      </c>
    </row>
    <row r="275" spans="18:21" x14ac:dyDescent="0.25">
      <c r="R275" s="19"/>
      <c r="S275" s="23" t="s">
        <v>240</v>
      </c>
      <c r="T275" s="23" t="s">
        <v>164</v>
      </c>
      <c r="U275" s="23">
        <v>9589.2999999999993</v>
      </c>
    </row>
    <row r="276" spans="18:21" x14ac:dyDescent="0.25">
      <c r="R276" s="19"/>
      <c r="S276" s="23" t="s">
        <v>240</v>
      </c>
      <c r="T276" s="23" t="s">
        <v>163</v>
      </c>
      <c r="U276" s="23">
        <v>9386.1999999999898</v>
      </c>
    </row>
    <row r="277" spans="18:21" x14ac:dyDescent="0.25">
      <c r="R277" s="19"/>
      <c r="S277" s="23" t="s">
        <v>240</v>
      </c>
      <c r="T277" s="23" t="s">
        <v>173</v>
      </c>
      <c r="U277" s="23">
        <v>8960.0999999999894</v>
      </c>
    </row>
    <row r="278" spans="18:21" x14ac:dyDescent="0.25">
      <c r="R278" s="19"/>
      <c r="S278" s="23" t="s">
        <v>240</v>
      </c>
      <c r="T278" s="23" t="s">
        <v>176</v>
      </c>
      <c r="U278" s="23">
        <v>7927.3999999999896</v>
      </c>
    </row>
    <row r="279" spans="18:21" x14ac:dyDescent="0.25">
      <c r="R279" s="19"/>
      <c r="S279" s="23" t="s">
        <v>240</v>
      </c>
      <c r="T279" s="23" t="s">
        <v>130</v>
      </c>
      <c r="U279" s="23">
        <v>7903.8999999999896</v>
      </c>
    </row>
    <row r="280" spans="18:21" x14ac:dyDescent="0.25">
      <c r="R280" s="19"/>
      <c r="S280" s="23" t="s">
        <v>240</v>
      </c>
      <c r="T280" s="23" t="s">
        <v>172</v>
      </c>
      <c r="U280" s="23">
        <v>7865.2999999999902</v>
      </c>
    </row>
    <row r="281" spans="18:21" x14ac:dyDescent="0.25">
      <c r="R281" s="19"/>
      <c r="S281" s="23" t="s">
        <v>240</v>
      </c>
      <c r="T281" s="23" t="s">
        <v>112</v>
      </c>
      <c r="U281" s="23">
        <v>7858.4</v>
      </c>
    </row>
    <row r="282" spans="18:21" x14ac:dyDescent="0.25">
      <c r="R282" s="19"/>
      <c r="S282" s="23" t="s">
        <v>240</v>
      </c>
      <c r="T282" s="23" t="s">
        <v>169</v>
      </c>
      <c r="U282" s="23">
        <v>7725.0999999999904</v>
      </c>
    </row>
    <row r="283" spans="18:21" x14ac:dyDescent="0.25">
      <c r="R283" s="19"/>
      <c r="S283" s="23" t="s">
        <v>240</v>
      </c>
      <c r="T283" s="23" t="s">
        <v>170</v>
      </c>
      <c r="U283" s="23">
        <v>7304.0999999999904</v>
      </c>
    </row>
    <row r="284" spans="18:21" x14ac:dyDescent="0.25">
      <c r="R284" s="19"/>
      <c r="S284" s="23" t="s">
        <v>240</v>
      </c>
      <c r="T284" s="23" t="s">
        <v>177</v>
      </c>
      <c r="U284" s="23">
        <v>7017.3999999999896</v>
      </c>
    </row>
    <row r="285" spans="18:21" x14ac:dyDescent="0.25">
      <c r="R285" s="19"/>
      <c r="S285" s="23" t="s">
        <v>240</v>
      </c>
      <c r="T285" s="23" t="s">
        <v>181</v>
      </c>
      <c r="U285" s="23">
        <v>6782.3999999999896</v>
      </c>
    </row>
    <row r="286" spans="18:21" x14ac:dyDescent="0.25">
      <c r="R286" s="19"/>
      <c r="S286" s="23" t="s">
        <v>240</v>
      </c>
      <c r="T286" s="23" t="s">
        <v>166</v>
      </c>
      <c r="U286" s="23">
        <v>6487.0999999999904</v>
      </c>
    </row>
    <row r="287" spans="18:21" x14ac:dyDescent="0.25">
      <c r="R287" s="19"/>
      <c r="S287" s="23" t="s">
        <v>240</v>
      </c>
      <c r="T287" s="23" t="s">
        <v>168</v>
      </c>
      <c r="U287" s="23">
        <v>6485.9</v>
      </c>
    </row>
    <row r="288" spans="18:21" x14ac:dyDescent="0.25">
      <c r="R288" s="19"/>
      <c r="S288" s="23" t="s">
        <v>240</v>
      </c>
      <c r="T288" s="23" t="s">
        <v>171</v>
      </c>
      <c r="U288" s="23">
        <v>6388</v>
      </c>
    </row>
    <row r="289" spans="18:21" x14ac:dyDescent="0.25">
      <c r="R289" s="19"/>
      <c r="S289" s="23" t="s">
        <v>240</v>
      </c>
      <c r="T289" s="23" t="s">
        <v>184</v>
      </c>
      <c r="U289" s="23">
        <v>6368.0999999999904</v>
      </c>
    </row>
    <row r="290" spans="18:21" x14ac:dyDescent="0.25">
      <c r="R290" s="19"/>
      <c r="S290" s="23" t="s">
        <v>240</v>
      </c>
      <c r="T290" s="23" t="s">
        <v>165</v>
      </c>
      <c r="U290" s="23">
        <v>6201.0999999999904</v>
      </c>
    </row>
    <row r="291" spans="18:21" x14ac:dyDescent="0.25">
      <c r="R291" s="19"/>
      <c r="S291" s="23" t="s">
        <v>240</v>
      </c>
      <c r="T291" s="23" t="s">
        <v>180</v>
      </c>
      <c r="U291" s="23">
        <v>5844.1999999999898</v>
      </c>
    </row>
    <row r="292" spans="18:21" x14ac:dyDescent="0.25">
      <c r="R292" s="19"/>
      <c r="S292" s="23" t="s">
        <v>240</v>
      </c>
      <c r="T292" s="23" t="s">
        <v>124</v>
      </c>
      <c r="U292" s="23">
        <v>5468.9</v>
      </c>
    </row>
    <row r="293" spans="18:21" x14ac:dyDescent="0.25">
      <c r="R293" s="19"/>
      <c r="S293" s="23" t="s">
        <v>240</v>
      </c>
      <c r="T293" s="23" t="s">
        <v>174</v>
      </c>
      <c r="U293" s="23">
        <v>5282.6</v>
      </c>
    </row>
    <row r="294" spans="18:21" x14ac:dyDescent="0.25">
      <c r="R294" s="19"/>
      <c r="S294" s="23" t="s">
        <v>240</v>
      </c>
      <c r="T294" s="23" t="s">
        <v>183</v>
      </c>
      <c r="U294" s="23">
        <v>5069.3999999999996</v>
      </c>
    </row>
    <row r="295" spans="18:21" x14ac:dyDescent="0.25">
      <c r="R295" s="19"/>
      <c r="S295" s="23" t="s">
        <v>240</v>
      </c>
      <c r="T295" s="23" t="s">
        <v>178</v>
      </c>
      <c r="U295" s="23">
        <v>4993.6999999999898</v>
      </c>
    </row>
    <row r="296" spans="18:21" x14ac:dyDescent="0.25">
      <c r="R296" s="19"/>
      <c r="S296" s="23" t="s">
        <v>240</v>
      </c>
      <c r="T296" s="23" t="s">
        <v>179</v>
      </c>
      <c r="U296" s="23">
        <v>4815.99999999999</v>
      </c>
    </row>
    <row r="297" spans="18:21" x14ac:dyDescent="0.25">
      <c r="R297" s="19"/>
      <c r="S297" s="23" t="s">
        <v>240</v>
      </c>
      <c r="T297" s="23" t="s">
        <v>189</v>
      </c>
      <c r="U297" s="23">
        <v>4779.8999999999996</v>
      </c>
    </row>
    <row r="298" spans="18:21" x14ac:dyDescent="0.25">
      <c r="R298" s="19"/>
      <c r="S298" s="23" t="s">
        <v>240</v>
      </c>
      <c r="T298" s="23" t="s">
        <v>188</v>
      </c>
      <c r="U298" s="23">
        <v>4638.7</v>
      </c>
    </row>
    <row r="299" spans="18:21" x14ac:dyDescent="0.25">
      <c r="R299" s="19"/>
      <c r="S299" s="23" t="s">
        <v>240</v>
      </c>
      <c r="T299" s="23" t="s">
        <v>175</v>
      </c>
      <c r="U299" s="23">
        <v>4632.1000000000004</v>
      </c>
    </row>
    <row r="300" spans="18:21" x14ac:dyDescent="0.25">
      <c r="R300" s="19"/>
      <c r="S300" s="23" t="s">
        <v>240</v>
      </c>
      <c r="T300" s="23" t="s">
        <v>191</v>
      </c>
      <c r="U300" s="23">
        <v>4614.6000000000004</v>
      </c>
    </row>
    <row r="301" spans="18:21" x14ac:dyDescent="0.25">
      <c r="R301" s="19"/>
      <c r="S301" s="23" t="s">
        <v>240</v>
      </c>
      <c r="T301" s="23" t="s">
        <v>194</v>
      </c>
      <c r="U301" s="23">
        <v>4610.3999999999996</v>
      </c>
    </row>
    <row r="302" spans="18:21" x14ac:dyDescent="0.25">
      <c r="R302" s="19"/>
      <c r="S302" s="23" t="s">
        <v>240</v>
      </c>
      <c r="T302" s="23" t="s">
        <v>196</v>
      </c>
      <c r="U302" s="23">
        <v>4376.3999999999996</v>
      </c>
    </row>
    <row r="303" spans="18:21" x14ac:dyDescent="0.25">
      <c r="R303" s="19"/>
      <c r="S303" s="23" t="s">
        <v>240</v>
      </c>
      <c r="T303" s="23" t="s">
        <v>212</v>
      </c>
      <c r="U303" s="23">
        <v>4321.6000000000004</v>
      </c>
    </row>
    <row r="304" spans="18:21" x14ac:dyDescent="0.25">
      <c r="R304" s="19"/>
      <c r="S304" s="23" t="s">
        <v>240</v>
      </c>
      <c r="T304" s="23" t="s">
        <v>195</v>
      </c>
      <c r="U304" s="23">
        <v>3965.9</v>
      </c>
    </row>
    <row r="305" spans="18:21" x14ac:dyDescent="0.25">
      <c r="R305" s="19"/>
      <c r="S305" s="23" t="s">
        <v>240</v>
      </c>
      <c r="T305" s="23" t="s">
        <v>193</v>
      </c>
      <c r="U305" s="23">
        <v>3956.7999999999902</v>
      </c>
    </row>
    <row r="306" spans="18:21" x14ac:dyDescent="0.25">
      <c r="R306" s="19"/>
      <c r="S306" s="23" t="s">
        <v>240</v>
      </c>
      <c r="T306" s="23" t="s">
        <v>214</v>
      </c>
      <c r="U306" s="23">
        <v>3932</v>
      </c>
    </row>
    <row r="307" spans="18:21" x14ac:dyDescent="0.25">
      <c r="R307" s="19"/>
      <c r="S307" s="23" t="s">
        <v>240</v>
      </c>
      <c r="T307" s="23" t="s">
        <v>200</v>
      </c>
      <c r="U307" s="23">
        <v>3898.4</v>
      </c>
    </row>
    <row r="308" spans="18:21" x14ac:dyDescent="0.25">
      <c r="R308" s="19"/>
      <c r="S308" s="23" t="s">
        <v>240</v>
      </c>
      <c r="T308" s="23" t="s">
        <v>209</v>
      </c>
      <c r="U308" s="23">
        <v>3895.8999999999901</v>
      </c>
    </row>
    <row r="309" spans="18:21" x14ac:dyDescent="0.25">
      <c r="R309" s="19"/>
      <c r="S309" s="23" t="s">
        <v>240</v>
      </c>
      <c r="T309" s="23" t="s">
        <v>115</v>
      </c>
      <c r="U309" s="23">
        <v>3856.3999999999901</v>
      </c>
    </row>
    <row r="310" spans="18:21" x14ac:dyDescent="0.25">
      <c r="R310" s="19"/>
      <c r="S310" s="23" t="s">
        <v>240</v>
      </c>
      <c r="T310" s="23" t="s">
        <v>202</v>
      </c>
      <c r="U310" s="23">
        <v>3851.2999999999902</v>
      </c>
    </row>
    <row r="311" spans="18:21" x14ac:dyDescent="0.25">
      <c r="R311" s="19"/>
      <c r="S311" s="23" t="s">
        <v>240</v>
      </c>
      <c r="T311" s="23" t="s">
        <v>186</v>
      </c>
      <c r="U311" s="23">
        <v>3836.7</v>
      </c>
    </row>
    <row r="312" spans="18:21" x14ac:dyDescent="0.25">
      <c r="R312" s="19"/>
      <c r="S312" s="23" t="s">
        <v>240</v>
      </c>
      <c r="T312" s="23" t="s">
        <v>201</v>
      </c>
      <c r="U312" s="23">
        <v>3831.6</v>
      </c>
    </row>
    <row r="313" spans="18:21" x14ac:dyDescent="0.25">
      <c r="R313" s="19"/>
      <c r="S313" s="23" t="s">
        <v>240</v>
      </c>
      <c r="T313" s="23" t="s">
        <v>206</v>
      </c>
      <c r="U313" s="23">
        <v>3800</v>
      </c>
    </row>
    <row r="314" spans="18:21" x14ac:dyDescent="0.25">
      <c r="R314" s="19"/>
      <c r="S314" s="23" t="s">
        <v>240</v>
      </c>
      <c r="T314" s="23" t="s">
        <v>197</v>
      </c>
      <c r="U314" s="23">
        <v>3798.5999999999899</v>
      </c>
    </row>
    <row r="315" spans="18:21" x14ac:dyDescent="0.25">
      <c r="R315" s="19"/>
      <c r="S315" s="23" t="s">
        <v>240</v>
      </c>
      <c r="T315" s="23" t="s">
        <v>207</v>
      </c>
      <c r="U315" s="23">
        <v>3639.8</v>
      </c>
    </row>
    <row r="316" spans="18:21" x14ac:dyDescent="0.25">
      <c r="R316" s="19"/>
      <c r="S316" s="23" t="s">
        <v>240</v>
      </c>
      <c r="T316" s="23" t="s">
        <v>185</v>
      </c>
      <c r="U316" s="23">
        <v>3506.7</v>
      </c>
    </row>
    <row r="317" spans="18:21" x14ac:dyDescent="0.25">
      <c r="R317" s="19"/>
      <c r="S317" s="23" t="s">
        <v>240</v>
      </c>
      <c r="T317" s="23" t="s">
        <v>215</v>
      </c>
      <c r="U317" s="23">
        <v>3406.9</v>
      </c>
    </row>
    <row r="318" spans="18:21" x14ac:dyDescent="0.25">
      <c r="R318" s="19"/>
      <c r="S318" s="23" t="s">
        <v>240</v>
      </c>
      <c r="T318" s="23" t="s">
        <v>210</v>
      </c>
      <c r="U318" s="23">
        <v>3396.3</v>
      </c>
    </row>
    <row r="319" spans="18:21" x14ac:dyDescent="0.25">
      <c r="R319" s="19"/>
      <c r="S319" s="23" t="s">
        <v>240</v>
      </c>
      <c r="T319" s="23" t="s">
        <v>203</v>
      </c>
      <c r="U319" s="23">
        <v>3294.7</v>
      </c>
    </row>
    <row r="320" spans="18:21" x14ac:dyDescent="0.25">
      <c r="R320" s="19"/>
      <c r="S320" s="23" t="s">
        <v>240</v>
      </c>
      <c r="T320" s="23" t="s">
        <v>204</v>
      </c>
      <c r="U320" s="23">
        <v>3238.5</v>
      </c>
    </row>
    <row r="321" spans="18:21" x14ac:dyDescent="0.25">
      <c r="R321" s="19"/>
      <c r="S321" s="23" t="s">
        <v>240</v>
      </c>
      <c r="T321" s="23" t="s">
        <v>218</v>
      </c>
      <c r="U321" s="23">
        <v>3165.3999999999901</v>
      </c>
    </row>
    <row r="322" spans="18:21" x14ac:dyDescent="0.25">
      <c r="R322" s="19"/>
      <c r="S322" s="23" t="s">
        <v>240</v>
      </c>
      <c r="T322" s="23" t="s">
        <v>211</v>
      </c>
      <c r="U322" s="23">
        <v>3121.6</v>
      </c>
    </row>
    <row r="323" spans="18:21" x14ac:dyDescent="0.25">
      <c r="R323" s="19"/>
      <c r="S323" s="23" t="s">
        <v>240</v>
      </c>
      <c r="T323" s="23" t="s">
        <v>213</v>
      </c>
      <c r="U323" s="23">
        <v>3121.2</v>
      </c>
    </row>
    <row r="324" spans="18:21" x14ac:dyDescent="0.25">
      <c r="R324" s="19"/>
      <c r="S324" s="23" t="s">
        <v>240</v>
      </c>
      <c r="T324" s="23" t="s">
        <v>226</v>
      </c>
      <c r="U324" s="23">
        <v>3103.6999999999898</v>
      </c>
    </row>
    <row r="325" spans="18:21" x14ac:dyDescent="0.25">
      <c r="R325" s="19"/>
      <c r="S325" s="23" t="s">
        <v>240</v>
      </c>
      <c r="T325" s="23" t="s">
        <v>187</v>
      </c>
      <c r="U325" s="23">
        <v>3055</v>
      </c>
    </row>
    <row r="326" spans="18:21" x14ac:dyDescent="0.25">
      <c r="R326" s="19"/>
      <c r="S326" s="23" t="s">
        <v>240</v>
      </c>
      <c r="T326" s="23" t="s">
        <v>229</v>
      </c>
      <c r="U326" s="23">
        <v>3049.7999999999902</v>
      </c>
    </row>
    <row r="327" spans="18:21" x14ac:dyDescent="0.25">
      <c r="R327" s="19"/>
      <c r="S327" s="23" t="s">
        <v>240</v>
      </c>
      <c r="T327" s="23" t="s">
        <v>126</v>
      </c>
      <c r="U327" s="23">
        <v>2975.6</v>
      </c>
    </row>
    <row r="328" spans="18:21" x14ac:dyDescent="0.25">
      <c r="R328" s="19"/>
      <c r="S328" s="23" t="s">
        <v>240</v>
      </c>
      <c r="T328" s="23" t="s">
        <v>190</v>
      </c>
      <c r="U328" s="23">
        <v>2912.3999999999901</v>
      </c>
    </row>
    <row r="329" spans="18:21" x14ac:dyDescent="0.25">
      <c r="R329" s="19"/>
      <c r="S329" s="23" t="s">
        <v>240</v>
      </c>
      <c r="T329" s="23" t="s">
        <v>122</v>
      </c>
      <c r="U329" s="23">
        <v>2902.99999999999</v>
      </c>
    </row>
    <row r="330" spans="18:21" x14ac:dyDescent="0.25">
      <c r="R330" s="19"/>
      <c r="S330" s="23" t="s">
        <v>240</v>
      </c>
      <c r="T330" s="23" t="s">
        <v>225</v>
      </c>
      <c r="U330" s="23">
        <v>2835.9</v>
      </c>
    </row>
    <row r="331" spans="18:21" x14ac:dyDescent="0.25">
      <c r="R331" s="19"/>
      <c r="S331" s="23" t="s">
        <v>240</v>
      </c>
      <c r="T331" s="23" t="s">
        <v>192</v>
      </c>
      <c r="U331" s="23">
        <v>2821.6</v>
      </c>
    </row>
    <row r="332" spans="18:21" x14ac:dyDescent="0.25">
      <c r="R332" s="19"/>
      <c r="S332" s="23" t="s">
        <v>240</v>
      </c>
      <c r="T332" s="23" t="s">
        <v>109</v>
      </c>
      <c r="U332" s="23">
        <v>2697.4</v>
      </c>
    </row>
    <row r="333" spans="18:21" x14ac:dyDescent="0.25">
      <c r="R333" s="19"/>
      <c r="S333" s="23" t="s">
        <v>240</v>
      </c>
      <c r="T333" s="23" t="s">
        <v>208</v>
      </c>
      <c r="U333" s="23">
        <v>2508.2999999999902</v>
      </c>
    </row>
    <row r="334" spans="18:21" x14ac:dyDescent="0.25">
      <c r="R334" s="19"/>
      <c r="S334" s="23" t="s">
        <v>240</v>
      </c>
      <c r="T334" s="23" t="s">
        <v>182</v>
      </c>
      <c r="U334" s="23">
        <v>2493.4</v>
      </c>
    </row>
    <row r="335" spans="18:21" x14ac:dyDescent="0.25">
      <c r="R335" s="19"/>
      <c r="S335" s="23" t="s">
        <v>240</v>
      </c>
      <c r="T335" s="23" t="s">
        <v>205</v>
      </c>
      <c r="U335" s="23">
        <v>2400.1</v>
      </c>
    </row>
    <row r="336" spans="18:21" x14ac:dyDescent="0.25">
      <c r="R336" s="19"/>
      <c r="S336" s="23" t="s">
        <v>240</v>
      </c>
      <c r="T336" s="23" t="s">
        <v>222</v>
      </c>
      <c r="U336" s="23">
        <v>2371.2999999999902</v>
      </c>
    </row>
    <row r="337" spans="18:21" x14ac:dyDescent="0.25">
      <c r="R337" s="19"/>
      <c r="S337" s="23" t="s">
        <v>240</v>
      </c>
      <c r="T337" s="23" t="s">
        <v>199</v>
      </c>
      <c r="U337" s="23">
        <v>2355.3000000000002</v>
      </c>
    </row>
    <row r="338" spans="18:21" x14ac:dyDescent="0.25">
      <c r="R338" s="19"/>
      <c r="S338" s="23" t="s">
        <v>240</v>
      </c>
      <c r="T338" s="23" t="s">
        <v>198</v>
      </c>
      <c r="U338" s="23">
        <v>2335.49999999999</v>
      </c>
    </row>
    <row r="339" spans="18:21" x14ac:dyDescent="0.25">
      <c r="R339" s="19"/>
      <c r="S339" s="23" t="s">
        <v>240</v>
      </c>
      <c r="T339" s="23" t="s">
        <v>220</v>
      </c>
      <c r="U339" s="23">
        <v>2167.1999999999998</v>
      </c>
    </row>
    <row r="340" spans="18:21" x14ac:dyDescent="0.25">
      <c r="R340" s="19"/>
      <c r="S340" s="23" t="s">
        <v>240</v>
      </c>
      <c r="T340" s="23" t="s">
        <v>227</v>
      </c>
      <c r="U340" s="23">
        <v>2141.8000000000002</v>
      </c>
    </row>
    <row r="341" spans="18:21" x14ac:dyDescent="0.25">
      <c r="R341" s="19"/>
      <c r="S341" s="23" t="s">
        <v>240</v>
      </c>
      <c r="T341" s="23" t="s">
        <v>223</v>
      </c>
      <c r="U341" s="23">
        <v>2120.49999999999</v>
      </c>
    </row>
    <row r="342" spans="18:21" x14ac:dyDescent="0.25">
      <c r="R342" s="19"/>
      <c r="S342" s="23" t="s">
        <v>240</v>
      </c>
      <c r="T342" s="23" t="s">
        <v>224</v>
      </c>
      <c r="U342" s="23">
        <v>2101.4</v>
      </c>
    </row>
    <row r="343" spans="18:21" x14ac:dyDescent="0.25">
      <c r="R343" s="19"/>
      <c r="S343" s="23" t="s">
        <v>240</v>
      </c>
      <c r="T343" s="23" t="s">
        <v>221</v>
      </c>
      <c r="U343" s="23">
        <v>2006.9</v>
      </c>
    </row>
    <row r="344" spans="18:21" x14ac:dyDescent="0.25">
      <c r="R344" s="19"/>
      <c r="S344" s="23" t="s">
        <v>240</v>
      </c>
      <c r="T344" s="23" t="s">
        <v>228</v>
      </c>
      <c r="U344" s="23">
        <v>1857.8</v>
      </c>
    </row>
    <row r="345" spans="18:21" x14ac:dyDescent="0.25">
      <c r="R345" s="19"/>
      <c r="S345" s="23" t="s">
        <v>240</v>
      </c>
      <c r="T345" s="23" t="s">
        <v>232</v>
      </c>
      <c r="U345" s="23">
        <v>1732.19999999999</v>
      </c>
    </row>
    <row r="346" spans="18:21" x14ac:dyDescent="0.25">
      <c r="R346" s="19"/>
      <c r="S346" s="23" t="s">
        <v>240</v>
      </c>
      <c r="T346" s="23" t="s">
        <v>217</v>
      </c>
      <c r="U346" s="23">
        <v>1600.3999999999901</v>
      </c>
    </row>
    <row r="347" spans="18:21" x14ac:dyDescent="0.25">
      <c r="R347" s="19"/>
      <c r="S347" s="23" t="s">
        <v>240</v>
      </c>
      <c r="T347" s="23" t="s">
        <v>234</v>
      </c>
      <c r="U347" s="23">
        <v>1529.6</v>
      </c>
    </row>
    <row r="348" spans="18:21" x14ac:dyDescent="0.25">
      <c r="R348" s="19"/>
      <c r="S348" s="23" t="s">
        <v>240</v>
      </c>
      <c r="T348" s="23" t="s">
        <v>216</v>
      </c>
      <c r="U348" s="23">
        <v>1514.19999999999</v>
      </c>
    </row>
    <row r="349" spans="18:21" x14ac:dyDescent="0.25">
      <c r="R349" s="19"/>
      <c r="S349" s="23" t="s">
        <v>240</v>
      </c>
      <c r="T349" s="23" t="s">
        <v>237</v>
      </c>
      <c r="U349" s="23">
        <v>1397.3</v>
      </c>
    </row>
    <row r="350" spans="18:21" x14ac:dyDescent="0.25">
      <c r="R350" s="19"/>
      <c r="S350" s="23" t="s">
        <v>240</v>
      </c>
      <c r="T350" s="23" t="s">
        <v>219</v>
      </c>
      <c r="U350" s="23">
        <v>1344.5</v>
      </c>
    </row>
    <row r="351" spans="18:21" x14ac:dyDescent="0.25">
      <c r="R351" s="19"/>
      <c r="S351" s="23" t="s">
        <v>240</v>
      </c>
      <c r="T351" s="23" t="s">
        <v>236</v>
      </c>
      <c r="U351" s="23">
        <v>1269.2</v>
      </c>
    </row>
    <row r="352" spans="18:21" x14ac:dyDescent="0.25">
      <c r="R352" s="19"/>
      <c r="S352" s="23" t="s">
        <v>240</v>
      </c>
      <c r="T352" s="23" t="s">
        <v>128</v>
      </c>
      <c r="U352" s="23">
        <v>1260.5999999999999</v>
      </c>
    </row>
    <row r="353" spans="18:21" x14ac:dyDescent="0.25">
      <c r="R353" s="19"/>
      <c r="S353" s="23" t="s">
        <v>240</v>
      </c>
      <c r="T353" s="23" t="s">
        <v>120</v>
      </c>
      <c r="U353" s="23">
        <v>1258.4000000000001</v>
      </c>
    </row>
    <row r="354" spans="18:21" x14ac:dyDescent="0.25">
      <c r="R354" s="19"/>
      <c r="S354" s="23" t="s">
        <v>240</v>
      </c>
      <c r="T354" s="23" t="s">
        <v>235</v>
      </c>
      <c r="U354" s="23">
        <v>1198.4000000000001</v>
      </c>
    </row>
    <row r="355" spans="18:21" x14ac:dyDescent="0.25">
      <c r="R355" s="19"/>
      <c r="S355" s="23" t="s">
        <v>240</v>
      </c>
      <c r="T355" s="23" t="s">
        <v>233</v>
      </c>
      <c r="U355" s="23">
        <v>1086.69999999999</v>
      </c>
    </row>
    <row r="356" spans="18:21" x14ac:dyDescent="0.25">
      <c r="R356" s="19"/>
      <c r="S356" s="23" t="s">
        <v>240</v>
      </c>
      <c r="T356" s="23" t="s">
        <v>231</v>
      </c>
      <c r="U356" s="23">
        <v>1002.3</v>
      </c>
    </row>
    <row r="357" spans="18:21" x14ac:dyDescent="0.25">
      <c r="R357" s="19"/>
      <c r="S357" s="23" t="s">
        <v>240</v>
      </c>
      <c r="T357" s="23" t="s">
        <v>230</v>
      </c>
      <c r="U357" s="23">
        <v>829.5</v>
      </c>
    </row>
  </sheetData>
  <mergeCells count="2">
    <mergeCell ref="S4:U4"/>
    <mergeCell ref="F2:O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F58D-056D-406F-9623-B56FFF387517}">
  <dimension ref="B1:Q392"/>
  <sheetViews>
    <sheetView tabSelected="1" workbookViewId="0">
      <selection activeCell="G46" sqref="G46"/>
    </sheetView>
  </sheetViews>
  <sheetFormatPr defaultRowHeight="15" x14ac:dyDescent="0.25"/>
  <cols>
    <col min="2" max="2" width="19.28515625" bestFit="1" customWidth="1"/>
    <col min="3" max="3" width="15.42578125" bestFit="1" customWidth="1"/>
    <col min="4" max="5" width="18.28515625" bestFit="1" customWidth="1"/>
    <col min="6" max="6" width="15.5703125" bestFit="1" customWidth="1"/>
    <col min="7" max="7" width="21.7109375" bestFit="1" customWidth="1"/>
    <col min="9" max="9" width="12.28515625" bestFit="1" customWidth="1"/>
    <col min="10" max="10" width="22.140625" bestFit="1" customWidth="1"/>
    <col min="11" max="11" width="10" bestFit="1" customWidth="1"/>
    <col min="13" max="13" width="15.5703125" bestFit="1" customWidth="1"/>
    <col min="14" max="14" width="11" bestFit="1" customWidth="1"/>
    <col min="15" max="15" width="14.7109375" bestFit="1" customWidth="1"/>
    <col min="16" max="16" width="10.85546875" customWidth="1"/>
    <col min="17" max="17" width="10.7109375" bestFit="1" customWidth="1"/>
  </cols>
  <sheetData>
    <row r="1" spans="2:17" ht="15.75" thickBot="1" x14ac:dyDescent="0.3"/>
    <row r="2" spans="2:17" ht="15.75" thickBot="1" x14ac:dyDescent="0.3">
      <c r="B2" s="100" t="s">
        <v>259</v>
      </c>
      <c r="C2" s="101"/>
      <c r="D2" s="101"/>
      <c r="E2" s="101"/>
      <c r="F2" s="101"/>
      <c r="G2" s="102"/>
      <c r="I2" s="92" t="s">
        <v>279</v>
      </c>
      <c r="J2" s="94"/>
      <c r="M2" s="89" t="s">
        <v>86</v>
      </c>
      <c r="N2" s="16" t="s">
        <v>87</v>
      </c>
      <c r="O2" s="16" t="s">
        <v>88</v>
      </c>
      <c r="P2" s="16" t="s">
        <v>89</v>
      </c>
      <c r="Q2" s="16" t="s">
        <v>277</v>
      </c>
    </row>
    <row r="3" spans="2:17" ht="15.75" thickBot="1" x14ac:dyDescent="0.3">
      <c r="B3" s="51" t="s">
        <v>49</v>
      </c>
      <c r="C3" s="52" t="s">
        <v>50</v>
      </c>
      <c r="D3" s="52" t="s">
        <v>51</v>
      </c>
      <c r="E3" s="52" t="s">
        <v>243</v>
      </c>
      <c r="F3" s="52" t="s">
        <v>244</v>
      </c>
      <c r="G3" s="54" t="s">
        <v>245</v>
      </c>
      <c r="I3" s="31" t="s">
        <v>136</v>
      </c>
      <c r="J3" s="61" t="s">
        <v>278</v>
      </c>
      <c r="M3" s="80">
        <v>44713</v>
      </c>
      <c r="N3" s="88">
        <v>2.0833333333333333E-3</v>
      </c>
      <c r="O3" s="73">
        <v>44713</v>
      </c>
      <c r="P3" s="88">
        <v>1.1111111111111112E-2</v>
      </c>
      <c r="Q3" s="88">
        <f>P3-N3</f>
        <v>9.0277777777777787E-3</v>
      </c>
    </row>
    <row r="4" spans="2:17" x14ac:dyDescent="0.25">
      <c r="B4" s="70">
        <v>141</v>
      </c>
      <c r="C4" s="71" t="s">
        <v>246</v>
      </c>
      <c r="D4" s="71"/>
      <c r="E4" s="71">
        <v>143</v>
      </c>
      <c r="F4" s="71">
        <v>3.35</v>
      </c>
      <c r="G4" s="72">
        <v>24.54</v>
      </c>
      <c r="I4" s="47">
        <v>6</v>
      </c>
      <c r="J4" s="56">
        <v>19.149999999999999</v>
      </c>
      <c r="M4" s="80">
        <v>44713</v>
      </c>
      <c r="N4" s="88">
        <v>2.7777777777777779E-3</v>
      </c>
      <c r="O4" s="73">
        <v>44713</v>
      </c>
      <c r="P4" s="88">
        <v>1.2499999999999999E-2</v>
      </c>
      <c r="Q4" s="88">
        <f t="shared" ref="Q4:Q12" si="0">P4-N4</f>
        <v>9.7222222222222206E-3</v>
      </c>
    </row>
    <row r="5" spans="2:17" x14ac:dyDescent="0.25">
      <c r="B5" s="22">
        <v>84</v>
      </c>
      <c r="C5" s="23" t="s">
        <v>247</v>
      </c>
      <c r="D5" s="23">
        <v>4.5</v>
      </c>
      <c r="E5" s="23">
        <v>161</v>
      </c>
      <c r="F5" s="23">
        <v>3.4</v>
      </c>
      <c r="G5" s="24">
        <v>23.71</v>
      </c>
      <c r="I5" s="6">
        <v>7</v>
      </c>
      <c r="J5" s="7">
        <v>21.14</v>
      </c>
      <c r="M5" s="80">
        <v>44713</v>
      </c>
      <c r="N5" s="88">
        <v>3.472222222222222E-3</v>
      </c>
      <c r="O5" s="73">
        <v>44713</v>
      </c>
      <c r="P5" s="88">
        <v>1.3888888888888888E-2</v>
      </c>
      <c r="Q5" s="88">
        <f t="shared" si="0"/>
        <v>1.0416666666666666E-2</v>
      </c>
    </row>
    <row r="6" spans="2:17" x14ac:dyDescent="0.25">
      <c r="B6" s="22">
        <v>107</v>
      </c>
      <c r="C6" s="23" t="s">
        <v>248</v>
      </c>
      <c r="D6" s="23">
        <v>3.2</v>
      </c>
      <c r="E6" s="23">
        <v>170</v>
      </c>
      <c r="F6" s="23">
        <v>3.4</v>
      </c>
      <c r="G6" s="24">
        <v>23.35</v>
      </c>
      <c r="I6" s="6">
        <v>8</v>
      </c>
      <c r="J6" s="7">
        <v>24.13</v>
      </c>
      <c r="M6" s="80">
        <v>44713</v>
      </c>
      <c r="N6" s="88">
        <v>3.472222222222222E-3</v>
      </c>
      <c r="O6" s="73">
        <v>44713</v>
      </c>
      <c r="P6" s="88">
        <v>1.6666666666666666E-2</v>
      </c>
      <c r="Q6" s="88">
        <f t="shared" si="0"/>
        <v>1.3194444444444444E-2</v>
      </c>
    </row>
    <row r="7" spans="2:17" ht="15.75" thickBot="1" x14ac:dyDescent="0.3">
      <c r="B7" s="22">
        <v>218</v>
      </c>
      <c r="C7" s="23" t="s">
        <v>249</v>
      </c>
      <c r="D7" s="23">
        <v>3.8</v>
      </c>
      <c r="E7" s="23">
        <v>179</v>
      </c>
      <c r="F7" s="23">
        <v>3.43</v>
      </c>
      <c r="G7" s="24">
        <v>23.58</v>
      </c>
      <c r="I7" s="8">
        <v>9</v>
      </c>
      <c r="J7" s="10">
        <v>31.12</v>
      </c>
      <c r="M7" s="80">
        <v>44713</v>
      </c>
      <c r="N7" s="88">
        <v>4.1666666666666666E-3</v>
      </c>
      <c r="O7" s="73">
        <v>44713</v>
      </c>
      <c r="P7" s="88">
        <v>2.361111111111111E-2</v>
      </c>
      <c r="Q7" s="88">
        <f t="shared" si="0"/>
        <v>1.9444444444444445E-2</v>
      </c>
    </row>
    <row r="8" spans="2:17" ht="15.75" thickBot="1" x14ac:dyDescent="0.3">
      <c r="B8" s="22">
        <v>203</v>
      </c>
      <c r="C8" s="23" t="s">
        <v>250</v>
      </c>
      <c r="D8" s="23">
        <v>3.4</v>
      </c>
      <c r="E8" s="23">
        <v>172</v>
      </c>
      <c r="F8" s="23">
        <v>3.43</v>
      </c>
      <c r="G8" s="24">
        <v>23.4</v>
      </c>
      <c r="M8" s="80">
        <v>44713</v>
      </c>
      <c r="N8" s="88">
        <v>1.1111111111111112E-2</v>
      </c>
      <c r="O8" s="73">
        <v>44713</v>
      </c>
      <c r="P8" s="88">
        <v>2.5694444444444447E-2</v>
      </c>
      <c r="Q8" s="88">
        <f t="shared" si="0"/>
        <v>1.4583333333333335E-2</v>
      </c>
    </row>
    <row r="9" spans="2:17" ht="15.75" thickBot="1" x14ac:dyDescent="0.3">
      <c r="B9" s="22">
        <v>121</v>
      </c>
      <c r="C9" s="23" t="s">
        <v>251</v>
      </c>
      <c r="D9" s="23">
        <v>4.4000000000000004</v>
      </c>
      <c r="E9" s="23">
        <v>152</v>
      </c>
      <c r="F9" s="23">
        <v>3.44</v>
      </c>
      <c r="G9" s="24">
        <v>23.69</v>
      </c>
      <c r="I9" s="97" t="s">
        <v>282</v>
      </c>
      <c r="J9" s="98"/>
      <c r="K9" s="99"/>
      <c r="M9" s="80">
        <v>44713</v>
      </c>
      <c r="N9" s="88">
        <v>1.1805555555555555E-2</v>
      </c>
      <c r="O9" s="73">
        <v>44713</v>
      </c>
      <c r="P9" s="88">
        <v>2.9861111111111113E-2</v>
      </c>
      <c r="Q9" s="88">
        <f t="shared" si="0"/>
        <v>1.8055555555555557E-2</v>
      </c>
    </row>
    <row r="10" spans="2:17" ht="15.75" thickBot="1" x14ac:dyDescent="0.3">
      <c r="B10" s="22">
        <v>17</v>
      </c>
      <c r="C10" s="23" t="s">
        <v>252</v>
      </c>
      <c r="D10" s="23">
        <v>3.6</v>
      </c>
      <c r="E10" s="23">
        <v>169</v>
      </c>
      <c r="F10" s="23">
        <v>3.44</v>
      </c>
      <c r="G10" s="24">
        <v>23.64</v>
      </c>
      <c r="I10" s="51" t="s">
        <v>274</v>
      </c>
      <c r="J10" s="52" t="s">
        <v>275</v>
      </c>
      <c r="K10" s="54" t="s">
        <v>276</v>
      </c>
      <c r="M10" s="80">
        <v>44713</v>
      </c>
      <c r="N10" s="88">
        <v>1.5277777777777777E-2</v>
      </c>
      <c r="O10" s="73">
        <v>44713</v>
      </c>
      <c r="P10" s="88">
        <v>3.0555555555555555E-2</v>
      </c>
      <c r="Q10" s="88">
        <f t="shared" si="0"/>
        <v>1.5277777777777777E-2</v>
      </c>
    </row>
    <row r="11" spans="2:17" x14ac:dyDescent="0.25">
      <c r="B11" s="22">
        <v>5</v>
      </c>
      <c r="C11" s="23" t="s">
        <v>56</v>
      </c>
      <c r="D11" s="23">
        <v>4.3</v>
      </c>
      <c r="E11" s="23">
        <v>157</v>
      </c>
      <c r="F11" s="23">
        <v>3.44</v>
      </c>
      <c r="G11" s="24">
        <v>23.55</v>
      </c>
      <c r="I11" s="62">
        <v>44713</v>
      </c>
      <c r="J11" s="63">
        <v>4.22</v>
      </c>
      <c r="K11" s="64">
        <v>12502</v>
      </c>
      <c r="M11" s="80">
        <v>44713</v>
      </c>
      <c r="N11" s="88">
        <v>2.4999999999999998E-2</v>
      </c>
      <c r="O11" s="73">
        <v>44713</v>
      </c>
      <c r="P11" s="88">
        <v>3.3333333333333333E-2</v>
      </c>
      <c r="Q11" s="88">
        <f t="shared" si="0"/>
        <v>8.333333333333335E-3</v>
      </c>
    </row>
    <row r="12" spans="2:17" ht="15.75" thickBot="1" x14ac:dyDescent="0.3">
      <c r="B12" s="22">
        <v>10</v>
      </c>
      <c r="C12" s="23" t="s">
        <v>61</v>
      </c>
      <c r="D12" s="23">
        <v>4.5</v>
      </c>
      <c r="E12" s="23">
        <v>154</v>
      </c>
      <c r="F12" s="23">
        <v>3.45</v>
      </c>
      <c r="G12" s="24">
        <v>23.92</v>
      </c>
      <c r="I12" s="65">
        <v>44743</v>
      </c>
      <c r="J12" s="60">
        <v>3.72</v>
      </c>
      <c r="K12" s="66">
        <v>11144</v>
      </c>
      <c r="M12" s="90">
        <v>44713</v>
      </c>
      <c r="N12" s="91">
        <v>2.7777777777777776E-2</v>
      </c>
      <c r="O12" s="74">
        <v>44713</v>
      </c>
      <c r="P12" s="91">
        <v>4.1666666666666664E-2</v>
      </c>
      <c r="Q12" s="91">
        <f t="shared" si="0"/>
        <v>1.3888888888888888E-2</v>
      </c>
    </row>
    <row r="13" spans="2:17" x14ac:dyDescent="0.25">
      <c r="B13" s="22">
        <v>29</v>
      </c>
      <c r="C13" s="23" t="s">
        <v>253</v>
      </c>
      <c r="D13" s="23">
        <v>4</v>
      </c>
      <c r="E13" s="23">
        <v>164</v>
      </c>
      <c r="F13" s="23">
        <v>3.46</v>
      </c>
      <c r="G13" s="24">
        <v>23.77</v>
      </c>
      <c r="I13" s="65">
        <v>44774</v>
      </c>
      <c r="J13" s="60">
        <v>3.3809999999999998</v>
      </c>
      <c r="K13" s="66">
        <v>10107</v>
      </c>
    </row>
    <row r="14" spans="2:17" ht="15.75" thickBot="1" x14ac:dyDescent="0.3">
      <c r="B14" s="22">
        <v>183</v>
      </c>
      <c r="C14" s="23" t="s">
        <v>254</v>
      </c>
      <c r="D14" s="23">
        <v>4.9000000000000004</v>
      </c>
      <c r="E14" s="23">
        <v>176</v>
      </c>
      <c r="F14" s="23">
        <v>3.46</v>
      </c>
      <c r="G14" s="24">
        <v>23.62</v>
      </c>
      <c r="I14" s="67">
        <v>44805</v>
      </c>
      <c r="J14" s="68">
        <v>3</v>
      </c>
      <c r="K14" s="69">
        <v>9365</v>
      </c>
    </row>
    <row r="15" spans="2:17" x14ac:dyDescent="0.25">
      <c r="B15" s="22">
        <v>200</v>
      </c>
      <c r="C15" s="23" t="s">
        <v>255</v>
      </c>
      <c r="D15" s="23">
        <v>5</v>
      </c>
      <c r="E15" s="23">
        <v>164</v>
      </c>
      <c r="F15" s="23">
        <v>3.46</v>
      </c>
      <c r="G15" s="24">
        <v>22.91</v>
      </c>
    </row>
    <row r="16" spans="2:17" x14ac:dyDescent="0.25">
      <c r="B16" s="22">
        <v>181</v>
      </c>
      <c r="C16" s="23" t="s">
        <v>256</v>
      </c>
      <c r="D16" s="23">
        <v>4.4000000000000004</v>
      </c>
      <c r="E16" s="23">
        <v>168</v>
      </c>
      <c r="F16" s="23">
        <v>3.47</v>
      </c>
      <c r="G16" s="24">
        <v>23.49</v>
      </c>
    </row>
    <row r="17" spans="2:7" x14ac:dyDescent="0.25">
      <c r="B17" s="22">
        <v>88</v>
      </c>
      <c r="C17" s="23" t="s">
        <v>257</v>
      </c>
      <c r="D17" s="23">
        <v>4.9000000000000004</v>
      </c>
      <c r="E17" s="23">
        <v>172</v>
      </c>
      <c r="F17" s="23">
        <v>3.47</v>
      </c>
      <c r="G17" s="24">
        <v>23.47</v>
      </c>
    </row>
    <row r="18" spans="2:7" ht="15.75" thickBot="1" x14ac:dyDescent="0.3">
      <c r="B18" s="25">
        <v>145</v>
      </c>
      <c r="C18" s="26" t="s">
        <v>258</v>
      </c>
      <c r="D18" s="26">
        <v>4.4000000000000004</v>
      </c>
      <c r="E18" s="26">
        <v>168</v>
      </c>
      <c r="F18" s="26">
        <v>3.48</v>
      </c>
      <c r="G18" s="27">
        <v>24.12</v>
      </c>
    </row>
    <row r="19" spans="2:7" ht="15.75" thickBot="1" x14ac:dyDescent="0.3"/>
    <row r="20" spans="2:7" ht="15.75" thickBot="1" x14ac:dyDescent="0.3">
      <c r="B20" s="103" t="s">
        <v>273</v>
      </c>
      <c r="C20" s="104"/>
      <c r="D20" s="105"/>
    </row>
    <row r="21" spans="2:7" ht="15.75" thickBot="1" x14ac:dyDescent="0.3">
      <c r="B21" s="37" t="s">
        <v>266</v>
      </c>
      <c r="C21" s="38" t="s">
        <v>267</v>
      </c>
      <c r="D21" s="39" t="s">
        <v>272</v>
      </c>
      <c r="G21" s="11"/>
    </row>
    <row r="22" spans="2:7" x14ac:dyDescent="0.25">
      <c r="B22" s="34" t="s">
        <v>268</v>
      </c>
      <c r="C22" s="35">
        <v>7171</v>
      </c>
      <c r="D22" s="36" t="s">
        <v>271</v>
      </c>
      <c r="E22" s="20"/>
      <c r="F22" s="20"/>
      <c r="G22" s="3"/>
    </row>
    <row r="23" spans="2:7" x14ac:dyDescent="0.25">
      <c r="B23" s="21" t="s">
        <v>260</v>
      </c>
      <c r="C23" s="12">
        <v>4803</v>
      </c>
      <c r="D23" s="30">
        <f>C23/C22</f>
        <v>0.66978106261330361</v>
      </c>
      <c r="E23" s="28">
        <v>0.33</v>
      </c>
      <c r="G23" s="3"/>
    </row>
    <row r="24" spans="2:7" x14ac:dyDescent="0.25">
      <c r="B24" s="21" t="s">
        <v>261</v>
      </c>
      <c r="C24" s="12">
        <v>4579</v>
      </c>
      <c r="D24" s="29">
        <f>C24/C22</f>
        <v>0.63854413610375127</v>
      </c>
      <c r="G24" s="3"/>
    </row>
    <row r="25" spans="2:7" x14ac:dyDescent="0.25">
      <c r="B25" s="21" t="s">
        <v>262</v>
      </c>
      <c r="C25" s="12">
        <v>4347</v>
      </c>
      <c r="D25" s="29">
        <f>C25/C22</f>
        <v>0.60619160507600056</v>
      </c>
      <c r="G25" s="3"/>
    </row>
    <row r="26" spans="2:7" x14ac:dyDescent="0.25">
      <c r="B26" s="21" t="s">
        <v>269</v>
      </c>
      <c r="C26" s="12">
        <v>6721</v>
      </c>
      <c r="D26" s="29" t="s">
        <v>271</v>
      </c>
    </row>
    <row r="27" spans="2:7" x14ac:dyDescent="0.25">
      <c r="B27" s="21" t="s">
        <v>263</v>
      </c>
      <c r="C27" s="12">
        <v>4297</v>
      </c>
      <c r="D27" s="30">
        <f>C27/C26</f>
        <v>0.63933938402023505</v>
      </c>
      <c r="E27" s="28">
        <v>0.36</v>
      </c>
    </row>
    <row r="28" spans="2:7" x14ac:dyDescent="0.25">
      <c r="B28" s="21" t="s">
        <v>264</v>
      </c>
      <c r="C28" s="12">
        <v>4070</v>
      </c>
      <c r="D28" s="29">
        <f>C28/C26</f>
        <v>0.60556464811783961</v>
      </c>
    </row>
    <row r="29" spans="2:7" x14ac:dyDescent="0.25">
      <c r="B29" s="21" t="s">
        <v>270</v>
      </c>
      <c r="C29" s="12">
        <v>6399</v>
      </c>
      <c r="D29" s="29" t="s">
        <v>271</v>
      </c>
    </row>
    <row r="30" spans="2:7" ht="15.75" thickBot="1" x14ac:dyDescent="0.3">
      <c r="B30" s="31" t="s">
        <v>265</v>
      </c>
      <c r="C30" s="32">
        <v>3907</v>
      </c>
      <c r="D30" s="33">
        <f>C30/C29</f>
        <v>0.61056415064853886</v>
      </c>
      <c r="E30" s="28">
        <v>0.39</v>
      </c>
    </row>
    <row r="33" spans="2:6" x14ac:dyDescent="0.25">
      <c r="B33" s="11"/>
    </row>
    <row r="34" spans="2:6" x14ac:dyDescent="0.25">
      <c r="B34" s="3"/>
    </row>
    <row r="35" spans="2:6" x14ac:dyDescent="0.25">
      <c r="B35" s="3"/>
    </row>
    <row r="36" spans="2:6" x14ac:dyDescent="0.25">
      <c r="B36" s="3"/>
    </row>
    <row r="37" spans="2:6" x14ac:dyDescent="0.25">
      <c r="B37" s="3"/>
    </row>
    <row r="39" spans="2:6" ht="19.5" thickBot="1" x14ac:dyDescent="0.35">
      <c r="C39" s="106" t="s">
        <v>283</v>
      </c>
      <c r="D39" s="106"/>
      <c r="E39" s="106"/>
      <c r="F39" s="106"/>
    </row>
    <row r="40" spans="2:6" x14ac:dyDescent="0.25">
      <c r="B40" s="11"/>
      <c r="C40" s="75" t="s">
        <v>107</v>
      </c>
      <c r="D40" s="76" t="s">
        <v>274</v>
      </c>
      <c r="E40" s="76" t="s">
        <v>275</v>
      </c>
      <c r="F40" s="77" t="s">
        <v>276</v>
      </c>
    </row>
    <row r="41" spans="2:6" x14ac:dyDescent="0.25">
      <c r="B41" s="3"/>
      <c r="C41" s="22" t="s">
        <v>201</v>
      </c>
      <c r="D41" s="73">
        <v>44713</v>
      </c>
      <c r="E41" s="23">
        <v>4.3099999999999996</v>
      </c>
      <c r="F41" s="24">
        <v>195</v>
      </c>
    </row>
    <row r="42" spans="2:6" x14ac:dyDescent="0.25">
      <c r="B42" s="3"/>
      <c r="C42" s="22" t="s">
        <v>201</v>
      </c>
      <c r="D42" s="73">
        <v>44743</v>
      </c>
      <c r="E42" s="23">
        <v>3.835</v>
      </c>
      <c r="F42" s="24">
        <v>161</v>
      </c>
    </row>
    <row r="43" spans="2:6" x14ac:dyDescent="0.25">
      <c r="B43" s="3"/>
      <c r="C43" s="22" t="s">
        <v>201</v>
      </c>
      <c r="D43" s="73">
        <v>44774</v>
      </c>
      <c r="E43" s="23">
        <v>3.3279999999999998</v>
      </c>
      <c r="F43" s="24">
        <v>161</v>
      </c>
    </row>
    <row r="44" spans="2:6" x14ac:dyDescent="0.25">
      <c r="B44" s="3"/>
      <c r="C44" s="22" t="s">
        <v>201</v>
      </c>
      <c r="D44" s="73">
        <v>44805</v>
      </c>
      <c r="E44" s="23">
        <v>3.1</v>
      </c>
      <c r="F44" s="24">
        <v>142</v>
      </c>
    </row>
    <row r="45" spans="2:6" x14ac:dyDescent="0.25">
      <c r="B45" s="3"/>
      <c r="C45" s="22" t="s">
        <v>188</v>
      </c>
      <c r="D45" s="73">
        <v>44713</v>
      </c>
      <c r="E45" s="23">
        <v>4.2679999999999998</v>
      </c>
      <c r="F45" s="24">
        <v>165</v>
      </c>
    </row>
    <row r="46" spans="2:6" x14ac:dyDescent="0.25">
      <c r="B46" s="3"/>
      <c r="C46" s="22" t="s">
        <v>188</v>
      </c>
      <c r="D46" s="73">
        <v>44743</v>
      </c>
      <c r="E46" s="23">
        <v>3.7349999999999999</v>
      </c>
      <c r="F46" s="24">
        <v>180</v>
      </c>
    </row>
    <row r="47" spans="2:6" x14ac:dyDescent="0.25">
      <c r="B47" s="3"/>
      <c r="C47" s="22" t="s">
        <v>188</v>
      </c>
      <c r="D47" s="73">
        <v>44774</v>
      </c>
      <c r="E47" s="23">
        <v>3.3679999999999999</v>
      </c>
      <c r="F47" s="24">
        <v>159</v>
      </c>
    </row>
    <row r="48" spans="2:6" x14ac:dyDescent="0.25">
      <c r="B48" s="3"/>
      <c r="C48" s="22" t="s">
        <v>188</v>
      </c>
      <c r="D48" s="73">
        <v>44805</v>
      </c>
      <c r="E48" s="23">
        <v>2.9729999999999999</v>
      </c>
      <c r="F48" s="24">
        <v>169</v>
      </c>
    </row>
    <row r="49" spans="2:6" x14ac:dyDescent="0.25">
      <c r="B49" s="3"/>
      <c r="C49" s="22" t="s">
        <v>173</v>
      </c>
      <c r="D49" s="73">
        <v>44713</v>
      </c>
      <c r="E49" s="23">
        <v>4.24</v>
      </c>
      <c r="F49" s="24">
        <v>431</v>
      </c>
    </row>
    <row r="50" spans="2:6" x14ac:dyDescent="0.25">
      <c r="B50" s="3"/>
      <c r="C50" s="22" t="s">
        <v>173</v>
      </c>
      <c r="D50" s="73">
        <v>44743</v>
      </c>
      <c r="E50" s="23">
        <v>3.77</v>
      </c>
      <c r="F50" s="24">
        <v>383</v>
      </c>
    </row>
    <row r="51" spans="2:6" x14ac:dyDescent="0.25">
      <c r="B51" s="3"/>
      <c r="C51" s="22" t="s">
        <v>173</v>
      </c>
      <c r="D51" s="73">
        <v>44774</v>
      </c>
      <c r="E51" s="23">
        <v>3.4260000000000002</v>
      </c>
      <c r="F51" s="24">
        <v>361</v>
      </c>
    </row>
    <row r="52" spans="2:6" x14ac:dyDescent="0.25">
      <c r="B52" s="3"/>
      <c r="C52" s="22" t="s">
        <v>173</v>
      </c>
      <c r="D52" s="73">
        <v>44805</v>
      </c>
      <c r="E52" s="23">
        <v>2.9430000000000001</v>
      </c>
      <c r="F52" s="24">
        <v>323</v>
      </c>
    </row>
    <row r="53" spans="2:6" x14ac:dyDescent="0.25">
      <c r="B53" s="3"/>
      <c r="C53" s="22" t="s">
        <v>235</v>
      </c>
      <c r="D53" s="73">
        <v>44713</v>
      </c>
      <c r="E53" s="23">
        <v>4.3109999999999999</v>
      </c>
      <c r="F53" s="24">
        <v>58</v>
      </c>
    </row>
    <row r="54" spans="2:6" x14ac:dyDescent="0.25">
      <c r="B54" s="3"/>
      <c r="C54" s="22" t="s">
        <v>235</v>
      </c>
      <c r="D54" s="73">
        <v>44743</v>
      </c>
      <c r="E54" s="23">
        <v>3.6259999999999999</v>
      </c>
      <c r="F54" s="24">
        <v>46</v>
      </c>
    </row>
    <row r="55" spans="2:6" x14ac:dyDescent="0.25">
      <c r="B55" s="3"/>
      <c r="C55" s="22" t="s">
        <v>235</v>
      </c>
      <c r="D55" s="73">
        <v>44774</v>
      </c>
      <c r="E55" s="23">
        <v>3.387</v>
      </c>
      <c r="F55" s="24">
        <v>36</v>
      </c>
    </row>
    <row r="56" spans="2:6" x14ac:dyDescent="0.25">
      <c r="B56" s="3"/>
      <c r="C56" s="22" t="s">
        <v>235</v>
      </c>
      <c r="D56" s="73">
        <v>44805</v>
      </c>
      <c r="E56" s="23">
        <v>3.1429999999999998</v>
      </c>
      <c r="F56" s="24">
        <v>43</v>
      </c>
    </row>
    <row r="57" spans="2:6" x14ac:dyDescent="0.25">
      <c r="B57" s="3"/>
      <c r="C57" s="22" t="s">
        <v>225</v>
      </c>
      <c r="D57" s="73">
        <v>44713</v>
      </c>
      <c r="E57" s="23">
        <v>4.2910000000000004</v>
      </c>
      <c r="F57" s="24">
        <v>129</v>
      </c>
    </row>
    <row r="58" spans="2:6" x14ac:dyDescent="0.25">
      <c r="B58" s="3"/>
      <c r="C58" s="22" t="s">
        <v>225</v>
      </c>
      <c r="D58" s="73">
        <v>44743</v>
      </c>
      <c r="E58" s="23">
        <v>3.6789999999999998</v>
      </c>
      <c r="F58" s="24">
        <v>106</v>
      </c>
    </row>
    <row r="59" spans="2:6" x14ac:dyDescent="0.25">
      <c r="B59" s="3"/>
      <c r="C59" s="22" t="s">
        <v>225</v>
      </c>
      <c r="D59" s="73">
        <v>44774</v>
      </c>
      <c r="E59" s="23">
        <v>3.5379999999999998</v>
      </c>
      <c r="F59" s="24">
        <v>105</v>
      </c>
    </row>
    <row r="60" spans="2:6" x14ac:dyDescent="0.25">
      <c r="B60" s="3"/>
      <c r="C60" s="22" t="s">
        <v>225</v>
      </c>
      <c r="D60" s="73">
        <v>44805</v>
      </c>
      <c r="E60" s="23">
        <v>2.9590000000000001</v>
      </c>
      <c r="F60" s="24">
        <v>97</v>
      </c>
    </row>
    <row r="61" spans="2:6" x14ac:dyDescent="0.25">
      <c r="B61" s="3"/>
      <c r="C61" s="22" t="s">
        <v>166</v>
      </c>
      <c r="D61" s="73">
        <v>44713</v>
      </c>
      <c r="E61" s="23">
        <v>4.1879999999999997</v>
      </c>
      <c r="F61" s="24">
        <v>336</v>
      </c>
    </row>
    <row r="62" spans="2:6" x14ac:dyDescent="0.25">
      <c r="B62" s="3"/>
      <c r="C62" s="22" t="s">
        <v>166</v>
      </c>
      <c r="D62" s="73">
        <v>44743</v>
      </c>
      <c r="E62" s="23">
        <v>3.7370000000000001</v>
      </c>
      <c r="F62" s="24">
        <v>306</v>
      </c>
    </row>
    <row r="63" spans="2:6" x14ac:dyDescent="0.25">
      <c r="B63" s="3"/>
      <c r="C63" s="22" t="s">
        <v>166</v>
      </c>
      <c r="D63" s="73">
        <v>44774</v>
      </c>
      <c r="E63" s="23">
        <v>3.3889999999999998</v>
      </c>
      <c r="F63" s="24">
        <v>252</v>
      </c>
    </row>
    <row r="64" spans="2:6" x14ac:dyDescent="0.25">
      <c r="B64" s="3"/>
      <c r="C64" s="22" t="s">
        <v>166</v>
      </c>
      <c r="D64" s="73">
        <v>44805</v>
      </c>
      <c r="E64" s="23">
        <v>2.8959999999999999</v>
      </c>
      <c r="F64" s="24">
        <v>248</v>
      </c>
    </row>
    <row r="65" spans="2:6" x14ac:dyDescent="0.25">
      <c r="B65" s="3"/>
      <c r="C65" s="22" t="s">
        <v>197</v>
      </c>
      <c r="D65" s="73">
        <v>44713</v>
      </c>
      <c r="E65" s="23">
        <v>4.1609999999999996</v>
      </c>
      <c r="F65" s="24">
        <v>182</v>
      </c>
    </row>
    <row r="66" spans="2:6" x14ac:dyDescent="0.25">
      <c r="B66" s="3"/>
      <c r="C66" s="22" t="s">
        <v>197</v>
      </c>
      <c r="D66" s="73">
        <v>44743</v>
      </c>
      <c r="E66" s="23">
        <v>3.7149999999999999</v>
      </c>
      <c r="F66" s="24">
        <v>149</v>
      </c>
    </row>
    <row r="67" spans="2:6" x14ac:dyDescent="0.25">
      <c r="B67" s="3"/>
      <c r="C67" s="22" t="s">
        <v>197</v>
      </c>
      <c r="D67" s="73">
        <v>44774</v>
      </c>
      <c r="E67" s="23">
        <v>3.3370000000000002</v>
      </c>
      <c r="F67" s="24">
        <v>184</v>
      </c>
    </row>
    <row r="68" spans="2:6" x14ac:dyDescent="0.25">
      <c r="B68" s="3"/>
      <c r="C68" s="22" t="s">
        <v>197</v>
      </c>
      <c r="D68" s="73">
        <v>44805</v>
      </c>
      <c r="E68" s="23">
        <v>2.9990000000000001</v>
      </c>
      <c r="F68" s="24">
        <v>142</v>
      </c>
    </row>
    <row r="69" spans="2:6" x14ac:dyDescent="0.25">
      <c r="B69" s="3"/>
      <c r="C69" s="22" t="s">
        <v>202</v>
      </c>
      <c r="D69" s="73">
        <v>44713</v>
      </c>
      <c r="E69" s="23">
        <v>4.2439999999999998</v>
      </c>
      <c r="F69" s="24">
        <v>189</v>
      </c>
    </row>
    <row r="70" spans="2:6" x14ac:dyDescent="0.25">
      <c r="B70" s="3"/>
      <c r="C70" s="22" t="s">
        <v>202</v>
      </c>
      <c r="D70" s="73">
        <v>44743</v>
      </c>
      <c r="E70" s="23">
        <v>3.7250000000000001</v>
      </c>
      <c r="F70" s="24">
        <v>154</v>
      </c>
    </row>
    <row r="71" spans="2:6" x14ac:dyDescent="0.25">
      <c r="B71" s="3"/>
      <c r="C71" s="22" t="s">
        <v>202</v>
      </c>
      <c r="D71" s="73">
        <v>44774</v>
      </c>
      <c r="E71" s="23">
        <v>3.3559999999999999</v>
      </c>
      <c r="F71" s="24">
        <v>159</v>
      </c>
    </row>
    <row r="72" spans="2:6" x14ac:dyDescent="0.25">
      <c r="B72" s="3"/>
      <c r="C72" s="22" t="s">
        <v>202</v>
      </c>
      <c r="D72" s="73">
        <v>44805</v>
      </c>
      <c r="E72" s="23">
        <v>3.012</v>
      </c>
      <c r="F72" s="24">
        <v>150</v>
      </c>
    </row>
    <row r="73" spans="2:6" x14ac:dyDescent="0.25">
      <c r="B73" s="3"/>
      <c r="C73" s="22" t="s">
        <v>164</v>
      </c>
      <c r="D73" s="73">
        <v>44713</v>
      </c>
      <c r="E73" s="23">
        <v>4.266</v>
      </c>
      <c r="F73" s="24">
        <v>473</v>
      </c>
    </row>
    <row r="74" spans="2:6" x14ac:dyDescent="0.25">
      <c r="B74" s="3"/>
      <c r="C74" s="22" t="s">
        <v>164</v>
      </c>
      <c r="D74" s="73">
        <v>44743</v>
      </c>
      <c r="E74" s="23">
        <v>3.758</v>
      </c>
      <c r="F74" s="24">
        <v>498</v>
      </c>
    </row>
    <row r="75" spans="2:6" x14ac:dyDescent="0.25">
      <c r="B75" s="3"/>
      <c r="C75" s="22" t="s">
        <v>164</v>
      </c>
      <c r="D75" s="73">
        <v>44774</v>
      </c>
      <c r="E75" s="23">
        <v>3.4129999999999998</v>
      </c>
      <c r="F75" s="24">
        <v>392</v>
      </c>
    </row>
    <row r="76" spans="2:6" x14ac:dyDescent="0.25">
      <c r="B76" s="3"/>
      <c r="C76" s="22" t="s">
        <v>164</v>
      </c>
      <c r="D76" s="73">
        <v>44805</v>
      </c>
      <c r="E76" s="23">
        <v>3.07</v>
      </c>
      <c r="F76" s="24">
        <v>349</v>
      </c>
    </row>
    <row r="77" spans="2:6" x14ac:dyDescent="0.25">
      <c r="B77" s="3"/>
      <c r="C77" s="22" t="s">
        <v>177</v>
      </c>
      <c r="D77" s="73">
        <v>44713</v>
      </c>
      <c r="E77" s="23">
        <v>4.2480000000000002</v>
      </c>
      <c r="F77" s="24">
        <v>335</v>
      </c>
    </row>
    <row r="78" spans="2:6" x14ac:dyDescent="0.25">
      <c r="B78" s="3"/>
      <c r="C78" s="22" t="s">
        <v>177</v>
      </c>
      <c r="D78" s="73">
        <v>44743</v>
      </c>
      <c r="E78" s="23">
        <v>3.69</v>
      </c>
      <c r="F78" s="24">
        <v>271</v>
      </c>
    </row>
    <row r="79" spans="2:6" x14ac:dyDescent="0.25">
      <c r="B79" s="3"/>
      <c r="C79" s="22" t="s">
        <v>177</v>
      </c>
      <c r="D79" s="73">
        <v>44774</v>
      </c>
      <c r="E79" s="23">
        <v>3.3570000000000002</v>
      </c>
      <c r="F79" s="24">
        <v>232</v>
      </c>
    </row>
    <row r="80" spans="2:6" x14ac:dyDescent="0.25">
      <c r="B80" s="3"/>
      <c r="C80" s="22" t="s">
        <v>177</v>
      </c>
      <c r="D80" s="73">
        <v>44805</v>
      </c>
      <c r="E80" s="23">
        <v>2.9790000000000001</v>
      </c>
      <c r="F80" s="24">
        <v>241</v>
      </c>
    </row>
    <row r="81" spans="2:6" x14ac:dyDescent="0.25">
      <c r="B81" s="3"/>
      <c r="C81" s="22" t="s">
        <v>115</v>
      </c>
      <c r="D81" s="73">
        <v>44713</v>
      </c>
      <c r="E81" s="23">
        <v>4.2549999999999999</v>
      </c>
      <c r="F81" s="24">
        <v>213</v>
      </c>
    </row>
    <row r="82" spans="2:6" x14ac:dyDescent="0.25">
      <c r="B82" s="3"/>
      <c r="C82" s="22" t="s">
        <v>115</v>
      </c>
      <c r="D82" s="73">
        <v>44743</v>
      </c>
      <c r="E82" s="23">
        <v>3.6779999999999999</v>
      </c>
      <c r="F82" s="24">
        <v>144</v>
      </c>
    </row>
    <row r="83" spans="2:6" x14ac:dyDescent="0.25">
      <c r="B83" s="3"/>
      <c r="C83" s="22" t="s">
        <v>115</v>
      </c>
      <c r="D83" s="73">
        <v>44774</v>
      </c>
      <c r="E83" s="23">
        <v>3.38</v>
      </c>
      <c r="F83" s="24">
        <v>156</v>
      </c>
    </row>
    <row r="84" spans="2:6" x14ac:dyDescent="0.25">
      <c r="B84" s="3"/>
      <c r="C84" s="22" t="s">
        <v>115</v>
      </c>
      <c r="D84" s="73">
        <v>44805</v>
      </c>
      <c r="E84" s="23">
        <v>2.9750000000000001</v>
      </c>
      <c r="F84" s="24">
        <v>135</v>
      </c>
    </row>
    <row r="85" spans="2:6" x14ac:dyDescent="0.25">
      <c r="B85" s="3"/>
      <c r="C85" s="22" t="s">
        <v>223</v>
      </c>
      <c r="D85" s="73">
        <v>44713</v>
      </c>
      <c r="E85" s="23">
        <v>4.25</v>
      </c>
      <c r="F85" s="24">
        <v>124</v>
      </c>
    </row>
    <row r="86" spans="2:6" x14ac:dyDescent="0.25">
      <c r="B86" s="3"/>
      <c r="C86" s="22" t="s">
        <v>223</v>
      </c>
      <c r="D86" s="73">
        <v>44743</v>
      </c>
      <c r="E86" s="23">
        <v>3.6920000000000002</v>
      </c>
      <c r="F86" s="24">
        <v>141</v>
      </c>
    </row>
    <row r="87" spans="2:6" x14ac:dyDescent="0.25">
      <c r="B87" s="3"/>
      <c r="C87" s="22" t="s">
        <v>223</v>
      </c>
      <c r="D87" s="73">
        <v>44774</v>
      </c>
      <c r="E87" s="23">
        <v>3.4369999999999998</v>
      </c>
      <c r="F87" s="24">
        <v>101</v>
      </c>
    </row>
    <row r="88" spans="2:6" x14ac:dyDescent="0.25">
      <c r="B88" s="3"/>
      <c r="C88" s="22" t="s">
        <v>223</v>
      </c>
      <c r="D88" s="73">
        <v>44805</v>
      </c>
      <c r="E88" s="23">
        <v>3.1749999999999998</v>
      </c>
      <c r="F88" s="24">
        <v>76</v>
      </c>
    </row>
    <row r="89" spans="2:6" x14ac:dyDescent="0.25">
      <c r="B89" s="3"/>
      <c r="C89" s="22" t="s">
        <v>120</v>
      </c>
      <c r="D89" s="73">
        <v>44713</v>
      </c>
      <c r="E89" s="23">
        <v>4.218</v>
      </c>
      <c r="F89" s="24">
        <v>60</v>
      </c>
    </row>
    <row r="90" spans="2:6" x14ac:dyDescent="0.25">
      <c r="B90" s="3"/>
      <c r="C90" s="22" t="s">
        <v>120</v>
      </c>
      <c r="D90" s="73">
        <v>44743</v>
      </c>
      <c r="E90" s="23">
        <v>3.585</v>
      </c>
      <c r="F90" s="24">
        <v>61</v>
      </c>
    </row>
    <row r="91" spans="2:6" x14ac:dyDescent="0.25">
      <c r="B91" s="3"/>
      <c r="C91" s="22" t="s">
        <v>120</v>
      </c>
      <c r="D91" s="73">
        <v>44774</v>
      </c>
      <c r="E91" s="23">
        <v>3.3220000000000001</v>
      </c>
      <c r="F91" s="24">
        <v>58</v>
      </c>
    </row>
    <row r="92" spans="2:6" x14ac:dyDescent="0.25">
      <c r="B92" s="3"/>
      <c r="C92" s="22" t="s">
        <v>120</v>
      </c>
      <c r="D92" s="73">
        <v>44805</v>
      </c>
      <c r="E92" s="23">
        <v>3.0150000000000001</v>
      </c>
      <c r="F92" s="24">
        <v>39</v>
      </c>
    </row>
    <row r="93" spans="2:6" x14ac:dyDescent="0.25">
      <c r="B93" s="3"/>
      <c r="C93" s="22" t="s">
        <v>221</v>
      </c>
      <c r="D93" s="73">
        <v>44713</v>
      </c>
      <c r="E93" s="23">
        <v>4.25</v>
      </c>
      <c r="F93" s="24">
        <v>131</v>
      </c>
    </row>
    <row r="94" spans="2:6" x14ac:dyDescent="0.25">
      <c r="B94" s="3"/>
      <c r="C94" s="22" t="s">
        <v>221</v>
      </c>
      <c r="D94" s="73">
        <v>44743</v>
      </c>
      <c r="E94" s="23">
        <v>3.6190000000000002</v>
      </c>
      <c r="F94" s="24">
        <v>115</v>
      </c>
    </row>
    <row r="95" spans="2:6" x14ac:dyDescent="0.25">
      <c r="B95" s="3"/>
      <c r="C95" s="22" t="s">
        <v>221</v>
      </c>
      <c r="D95" s="73">
        <v>44774</v>
      </c>
      <c r="E95" s="23">
        <v>3.3740000000000001</v>
      </c>
      <c r="F95" s="24">
        <v>116</v>
      </c>
    </row>
    <row r="96" spans="2:6" x14ac:dyDescent="0.25">
      <c r="B96" s="3"/>
      <c r="C96" s="22" t="s">
        <v>221</v>
      </c>
      <c r="D96" s="73">
        <v>44805</v>
      </c>
      <c r="E96" s="23">
        <v>3.0539999999999998</v>
      </c>
      <c r="F96" s="24">
        <v>76</v>
      </c>
    </row>
    <row r="97" spans="2:6" x14ac:dyDescent="0.25">
      <c r="B97" s="3"/>
      <c r="C97" s="22" t="s">
        <v>124</v>
      </c>
      <c r="D97" s="73">
        <v>44713</v>
      </c>
      <c r="E97" s="23">
        <v>4.2210000000000001</v>
      </c>
      <c r="F97" s="24">
        <v>242</v>
      </c>
    </row>
    <row r="98" spans="2:6" x14ac:dyDescent="0.25">
      <c r="B98" s="3"/>
      <c r="C98" s="22" t="s">
        <v>124</v>
      </c>
      <c r="D98" s="73">
        <v>44743</v>
      </c>
      <c r="E98" s="23">
        <v>3.6640000000000001</v>
      </c>
      <c r="F98" s="24">
        <v>250</v>
      </c>
    </row>
    <row r="99" spans="2:6" x14ac:dyDescent="0.25">
      <c r="B99" s="3"/>
      <c r="C99" s="22" t="s">
        <v>124</v>
      </c>
      <c r="D99" s="73">
        <v>44774</v>
      </c>
      <c r="E99" s="23">
        <v>3.2789999999999999</v>
      </c>
      <c r="F99" s="24">
        <v>213</v>
      </c>
    </row>
    <row r="100" spans="2:6" x14ac:dyDescent="0.25">
      <c r="B100" s="3"/>
      <c r="C100" s="22" t="s">
        <v>124</v>
      </c>
      <c r="D100" s="73">
        <v>44805</v>
      </c>
      <c r="E100" s="23">
        <v>3.0870000000000002</v>
      </c>
      <c r="F100" s="24">
        <v>199</v>
      </c>
    </row>
    <row r="101" spans="2:6" x14ac:dyDescent="0.25">
      <c r="B101" s="3"/>
      <c r="C101" s="22" t="s">
        <v>232</v>
      </c>
      <c r="D101" s="73">
        <v>44713</v>
      </c>
      <c r="E101" s="23">
        <v>4.3959999999999999</v>
      </c>
      <c r="F101" s="24">
        <v>80</v>
      </c>
    </row>
    <row r="102" spans="2:6" x14ac:dyDescent="0.25">
      <c r="B102" s="3"/>
      <c r="C102" s="22" t="s">
        <v>232</v>
      </c>
      <c r="D102" s="73">
        <v>44743</v>
      </c>
      <c r="E102" s="23">
        <v>3.7519999999999998</v>
      </c>
      <c r="F102" s="24">
        <v>53</v>
      </c>
    </row>
    <row r="103" spans="2:6" x14ac:dyDescent="0.25">
      <c r="B103" s="3"/>
      <c r="C103" s="22" t="s">
        <v>232</v>
      </c>
      <c r="D103" s="73">
        <v>44774</v>
      </c>
      <c r="E103" s="23">
        <v>3.8559999999999999</v>
      </c>
      <c r="F103" s="24">
        <v>46</v>
      </c>
    </row>
    <row r="104" spans="2:6" x14ac:dyDescent="0.25">
      <c r="B104" s="3"/>
      <c r="C104" s="22" t="s">
        <v>232</v>
      </c>
      <c r="D104" s="73">
        <v>44805</v>
      </c>
      <c r="E104" s="23">
        <v>3.1139999999999999</v>
      </c>
      <c r="F104" s="24">
        <v>58</v>
      </c>
    </row>
    <row r="105" spans="2:6" x14ac:dyDescent="0.25">
      <c r="B105" s="3"/>
      <c r="C105" s="22" t="s">
        <v>227</v>
      </c>
      <c r="D105" s="73">
        <v>44713</v>
      </c>
      <c r="E105" s="23">
        <v>4.1710000000000003</v>
      </c>
      <c r="F105" s="24">
        <v>130</v>
      </c>
    </row>
    <row r="106" spans="2:6" x14ac:dyDescent="0.25">
      <c r="B106" s="3"/>
      <c r="C106" s="22" t="s">
        <v>227</v>
      </c>
      <c r="D106" s="73">
        <v>44743</v>
      </c>
      <c r="E106" s="23">
        <v>3.6030000000000002</v>
      </c>
      <c r="F106" s="24">
        <v>97</v>
      </c>
    </row>
    <row r="107" spans="2:6" x14ac:dyDescent="0.25">
      <c r="B107" s="3"/>
      <c r="C107" s="22" t="s">
        <v>227</v>
      </c>
      <c r="D107" s="73">
        <v>44774</v>
      </c>
      <c r="E107" s="23">
        <v>3.3420000000000001</v>
      </c>
      <c r="F107" s="24">
        <v>108</v>
      </c>
    </row>
    <row r="108" spans="2:6" x14ac:dyDescent="0.25">
      <c r="B108" s="3"/>
      <c r="C108" s="22" t="s">
        <v>227</v>
      </c>
      <c r="D108" s="73">
        <v>44805</v>
      </c>
      <c r="E108" s="23">
        <v>2.8809999999999998</v>
      </c>
      <c r="F108" s="24">
        <v>82</v>
      </c>
    </row>
    <row r="109" spans="2:6" x14ac:dyDescent="0.25">
      <c r="B109" s="3"/>
      <c r="C109" s="22" t="s">
        <v>182</v>
      </c>
      <c r="D109" s="73">
        <v>44713</v>
      </c>
      <c r="E109" s="23">
        <v>4.0880000000000001</v>
      </c>
      <c r="F109" s="24">
        <v>140</v>
      </c>
    </row>
    <row r="110" spans="2:6" x14ac:dyDescent="0.25">
      <c r="B110" s="3"/>
      <c r="C110" s="22" t="s">
        <v>182</v>
      </c>
      <c r="D110" s="73">
        <v>44743</v>
      </c>
      <c r="E110" s="23">
        <v>3.625</v>
      </c>
      <c r="F110" s="24">
        <v>120</v>
      </c>
    </row>
    <row r="111" spans="2:6" x14ac:dyDescent="0.25">
      <c r="B111" s="3"/>
      <c r="C111" s="22" t="s">
        <v>182</v>
      </c>
      <c r="D111" s="73">
        <v>44774</v>
      </c>
      <c r="E111" s="23">
        <v>3.306</v>
      </c>
      <c r="F111" s="24">
        <v>111</v>
      </c>
    </row>
    <row r="112" spans="2:6" x14ac:dyDescent="0.25">
      <c r="B112" s="3"/>
      <c r="C112" s="22" t="s">
        <v>182</v>
      </c>
      <c r="D112" s="73">
        <v>44805</v>
      </c>
      <c r="E112" s="23">
        <v>2.96</v>
      </c>
      <c r="F112" s="24">
        <v>84</v>
      </c>
    </row>
    <row r="113" spans="2:6" x14ac:dyDescent="0.25">
      <c r="B113" s="3"/>
      <c r="C113" s="22" t="s">
        <v>200</v>
      </c>
      <c r="D113" s="73">
        <v>44713</v>
      </c>
      <c r="E113" s="23">
        <v>4.21</v>
      </c>
      <c r="F113" s="24">
        <v>208</v>
      </c>
    </row>
    <row r="114" spans="2:6" x14ac:dyDescent="0.25">
      <c r="B114" s="3"/>
      <c r="C114" s="22" t="s">
        <v>200</v>
      </c>
      <c r="D114" s="73">
        <v>44743</v>
      </c>
      <c r="E114" s="23">
        <v>3.831</v>
      </c>
      <c r="F114" s="24">
        <v>149</v>
      </c>
    </row>
    <row r="115" spans="2:6" x14ac:dyDescent="0.25">
      <c r="B115" s="3"/>
      <c r="C115" s="22" t="s">
        <v>200</v>
      </c>
      <c r="D115" s="73">
        <v>44774</v>
      </c>
      <c r="E115" s="23">
        <v>3.4860000000000002</v>
      </c>
      <c r="F115" s="24">
        <v>146</v>
      </c>
    </row>
    <row r="116" spans="2:6" x14ac:dyDescent="0.25">
      <c r="B116" s="3"/>
      <c r="C116" s="22" t="s">
        <v>200</v>
      </c>
      <c r="D116" s="73">
        <v>44805</v>
      </c>
      <c r="E116" s="23">
        <v>3.1320000000000001</v>
      </c>
      <c r="F116" s="24">
        <v>133</v>
      </c>
    </row>
    <row r="117" spans="2:6" x14ac:dyDescent="0.25">
      <c r="B117" s="3"/>
      <c r="C117" s="22" t="s">
        <v>209</v>
      </c>
      <c r="D117" s="73">
        <v>44713</v>
      </c>
      <c r="E117" s="23">
        <v>4.3719999999999999</v>
      </c>
      <c r="F117" s="24">
        <v>177</v>
      </c>
    </row>
    <row r="118" spans="2:6" x14ac:dyDescent="0.25">
      <c r="B118" s="3"/>
      <c r="C118" s="22" t="s">
        <v>209</v>
      </c>
      <c r="D118" s="73">
        <v>44743</v>
      </c>
      <c r="E118" s="23">
        <v>3.762</v>
      </c>
      <c r="F118" s="24">
        <v>172</v>
      </c>
    </row>
    <row r="119" spans="2:6" x14ac:dyDescent="0.25">
      <c r="B119" s="3"/>
      <c r="C119" s="22" t="s">
        <v>209</v>
      </c>
      <c r="D119" s="73">
        <v>44774</v>
      </c>
      <c r="E119" s="23">
        <v>3.2570000000000001</v>
      </c>
      <c r="F119" s="24">
        <v>135</v>
      </c>
    </row>
    <row r="120" spans="2:6" x14ac:dyDescent="0.25">
      <c r="B120" s="3"/>
      <c r="C120" s="22" t="s">
        <v>209</v>
      </c>
      <c r="D120" s="73">
        <v>44805</v>
      </c>
      <c r="E120" s="23">
        <v>3.15</v>
      </c>
      <c r="F120" s="24">
        <v>142</v>
      </c>
    </row>
    <row r="121" spans="2:6" x14ac:dyDescent="0.25">
      <c r="B121" s="3"/>
      <c r="C121" s="22" t="s">
        <v>233</v>
      </c>
      <c r="D121" s="73">
        <v>44713</v>
      </c>
      <c r="E121" s="23">
        <v>4.0309999999999997</v>
      </c>
      <c r="F121" s="24">
        <v>62</v>
      </c>
    </row>
    <row r="122" spans="2:6" x14ac:dyDescent="0.25">
      <c r="B122" s="3"/>
      <c r="C122" s="22" t="s">
        <v>233</v>
      </c>
      <c r="D122" s="73">
        <v>44743</v>
      </c>
      <c r="E122" s="23">
        <v>3.7389999999999999</v>
      </c>
      <c r="F122" s="24">
        <v>58</v>
      </c>
    </row>
    <row r="123" spans="2:6" x14ac:dyDescent="0.25">
      <c r="B123" s="3"/>
      <c r="C123" s="22" t="s">
        <v>233</v>
      </c>
      <c r="D123" s="73">
        <v>44774</v>
      </c>
      <c r="E123" s="23">
        <v>3.573</v>
      </c>
      <c r="F123" s="24">
        <v>44</v>
      </c>
    </row>
    <row r="124" spans="2:6" x14ac:dyDescent="0.25">
      <c r="B124" s="3"/>
      <c r="C124" s="22" t="s">
        <v>233</v>
      </c>
      <c r="D124" s="73">
        <v>44805</v>
      </c>
      <c r="E124" s="23">
        <v>3.0779999999999998</v>
      </c>
      <c r="F124" s="24">
        <v>40</v>
      </c>
    </row>
    <row r="125" spans="2:6" x14ac:dyDescent="0.25">
      <c r="B125" s="3"/>
      <c r="C125" s="22" t="s">
        <v>180</v>
      </c>
      <c r="D125" s="73">
        <v>44713</v>
      </c>
      <c r="E125" s="23">
        <v>4.1820000000000004</v>
      </c>
      <c r="F125" s="24">
        <v>239</v>
      </c>
    </row>
    <row r="126" spans="2:6" x14ac:dyDescent="0.25">
      <c r="B126" s="3"/>
      <c r="C126" s="22" t="s">
        <v>180</v>
      </c>
      <c r="D126" s="73">
        <v>44743</v>
      </c>
      <c r="E126" s="23">
        <v>3.83</v>
      </c>
      <c r="F126" s="24">
        <v>231</v>
      </c>
    </row>
    <row r="127" spans="2:6" x14ac:dyDescent="0.25">
      <c r="B127" s="3"/>
      <c r="C127" s="22" t="s">
        <v>180</v>
      </c>
      <c r="D127" s="73">
        <v>44774</v>
      </c>
      <c r="E127" s="23">
        <v>3.419</v>
      </c>
      <c r="F127" s="24">
        <v>202</v>
      </c>
    </row>
    <row r="128" spans="2:6" x14ac:dyDescent="0.25">
      <c r="B128" s="3"/>
      <c r="C128" s="22" t="s">
        <v>180</v>
      </c>
      <c r="D128" s="73">
        <v>44805</v>
      </c>
      <c r="E128" s="23">
        <v>2.9780000000000002</v>
      </c>
      <c r="F128" s="24">
        <v>204</v>
      </c>
    </row>
    <row r="129" spans="2:6" x14ac:dyDescent="0.25">
      <c r="B129" s="3"/>
      <c r="C129" s="22" t="s">
        <v>228</v>
      </c>
      <c r="D129" s="73">
        <v>44713</v>
      </c>
      <c r="E129" s="23">
        <v>4.2359999999999998</v>
      </c>
      <c r="F129" s="24">
        <v>140</v>
      </c>
    </row>
    <row r="130" spans="2:6" x14ac:dyDescent="0.25">
      <c r="B130" s="3"/>
      <c r="C130" s="22" t="s">
        <v>228</v>
      </c>
      <c r="D130" s="73">
        <v>44743</v>
      </c>
      <c r="E130" s="23">
        <v>3.7690000000000001</v>
      </c>
      <c r="F130" s="24">
        <v>112</v>
      </c>
    </row>
    <row r="131" spans="2:6" x14ac:dyDescent="0.25">
      <c r="B131" s="3"/>
      <c r="C131" s="22" t="s">
        <v>228</v>
      </c>
      <c r="D131" s="73">
        <v>44774</v>
      </c>
      <c r="E131" s="23">
        <v>3.5710000000000002</v>
      </c>
      <c r="F131" s="24">
        <v>104</v>
      </c>
    </row>
    <row r="132" spans="2:6" x14ac:dyDescent="0.25">
      <c r="B132" s="3"/>
      <c r="C132" s="22" t="s">
        <v>228</v>
      </c>
      <c r="D132" s="73">
        <v>44805</v>
      </c>
      <c r="E132" s="23">
        <v>3.0939999999999999</v>
      </c>
      <c r="F132" s="24">
        <v>82</v>
      </c>
    </row>
    <row r="133" spans="2:6" x14ac:dyDescent="0.25">
      <c r="B133" s="3"/>
      <c r="C133" s="22" t="s">
        <v>230</v>
      </c>
      <c r="D133" s="73">
        <v>44713</v>
      </c>
      <c r="E133" s="23">
        <v>4.2480000000000002</v>
      </c>
      <c r="F133" s="24">
        <v>75</v>
      </c>
    </row>
    <row r="134" spans="2:6" x14ac:dyDescent="0.25">
      <c r="B134" s="3"/>
      <c r="C134" s="22" t="s">
        <v>230</v>
      </c>
      <c r="D134" s="73">
        <v>44743</v>
      </c>
      <c r="E134" s="23">
        <v>3.8929999999999998</v>
      </c>
      <c r="F134" s="24">
        <v>62</v>
      </c>
    </row>
    <row r="135" spans="2:6" x14ac:dyDescent="0.25">
      <c r="B135" s="3"/>
      <c r="C135" s="22" t="s">
        <v>230</v>
      </c>
      <c r="D135" s="73">
        <v>44774</v>
      </c>
      <c r="E135" s="23">
        <v>3.1019999999999999</v>
      </c>
      <c r="F135" s="24">
        <v>41</v>
      </c>
    </row>
    <row r="136" spans="2:6" x14ac:dyDescent="0.25">
      <c r="B136" s="3"/>
      <c r="C136" s="22" t="s">
        <v>230</v>
      </c>
      <c r="D136" s="73">
        <v>44805</v>
      </c>
      <c r="E136" s="23">
        <v>2.903</v>
      </c>
      <c r="F136" s="24">
        <v>31</v>
      </c>
    </row>
    <row r="137" spans="2:6" x14ac:dyDescent="0.25">
      <c r="B137" s="3"/>
      <c r="C137" s="22" t="s">
        <v>181</v>
      </c>
      <c r="D137" s="73">
        <v>44713</v>
      </c>
      <c r="E137" s="23">
        <v>4.226</v>
      </c>
      <c r="F137" s="24">
        <v>336</v>
      </c>
    </row>
    <row r="138" spans="2:6" x14ac:dyDescent="0.25">
      <c r="B138" s="3"/>
      <c r="C138" s="22" t="s">
        <v>181</v>
      </c>
      <c r="D138" s="73">
        <v>44743</v>
      </c>
      <c r="E138" s="23">
        <v>3.7549999999999999</v>
      </c>
      <c r="F138" s="24">
        <v>270</v>
      </c>
    </row>
    <row r="139" spans="2:6" x14ac:dyDescent="0.25">
      <c r="B139" s="3"/>
      <c r="C139" s="22" t="s">
        <v>181</v>
      </c>
      <c r="D139" s="73">
        <v>44774</v>
      </c>
      <c r="E139" s="23">
        <v>3.339</v>
      </c>
      <c r="F139" s="24">
        <v>245</v>
      </c>
    </row>
    <row r="140" spans="2:6" x14ac:dyDescent="0.25">
      <c r="B140" s="3"/>
      <c r="C140" s="22" t="s">
        <v>181</v>
      </c>
      <c r="D140" s="73">
        <v>44805</v>
      </c>
      <c r="E140" s="23">
        <v>2.8759999999999999</v>
      </c>
      <c r="F140" s="24">
        <v>246</v>
      </c>
    </row>
    <row r="141" spans="2:6" x14ac:dyDescent="0.25">
      <c r="B141" s="3"/>
      <c r="C141" s="22" t="s">
        <v>213</v>
      </c>
      <c r="D141" s="73">
        <v>44713</v>
      </c>
      <c r="E141" s="23">
        <v>4.2279999999999998</v>
      </c>
      <c r="F141" s="24">
        <v>164</v>
      </c>
    </row>
    <row r="142" spans="2:6" x14ac:dyDescent="0.25">
      <c r="B142" s="3"/>
      <c r="C142" s="22" t="s">
        <v>213</v>
      </c>
      <c r="D142" s="73">
        <v>44743</v>
      </c>
      <c r="E142" s="23">
        <v>3.6739999999999999</v>
      </c>
      <c r="F142" s="24">
        <v>162</v>
      </c>
    </row>
    <row r="143" spans="2:6" x14ac:dyDescent="0.25">
      <c r="B143" s="3"/>
      <c r="C143" s="22" t="s">
        <v>213</v>
      </c>
      <c r="D143" s="73">
        <v>44774</v>
      </c>
      <c r="E143" s="23">
        <v>3.444</v>
      </c>
      <c r="F143" s="24">
        <v>141</v>
      </c>
    </row>
    <row r="144" spans="2:6" x14ac:dyDescent="0.25">
      <c r="B144" s="3"/>
      <c r="C144" s="22" t="s">
        <v>213</v>
      </c>
      <c r="D144" s="73">
        <v>44805</v>
      </c>
      <c r="E144" s="23">
        <v>3.032</v>
      </c>
      <c r="F144" s="24">
        <v>125</v>
      </c>
    </row>
    <row r="145" spans="2:6" x14ac:dyDescent="0.25">
      <c r="B145" s="3"/>
      <c r="C145" s="22" t="s">
        <v>226</v>
      </c>
      <c r="D145" s="73">
        <v>44713</v>
      </c>
      <c r="E145" s="23">
        <v>4.2859999999999996</v>
      </c>
      <c r="F145" s="24">
        <v>130</v>
      </c>
    </row>
    <row r="146" spans="2:6" x14ac:dyDescent="0.25">
      <c r="B146" s="3"/>
      <c r="C146" s="22" t="s">
        <v>226</v>
      </c>
      <c r="D146" s="73">
        <v>44743</v>
      </c>
      <c r="E146" s="23">
        <v>3.6819999999999999</v>
      </c>
      <c r="F146" s="24">
        <v>113</v>
      </c>
    </row>
    <row r="147" spans="2:6" x14ac:dyDescent="0.25">
      <c r="B147" s="3"/>
      <c r="C147" s="22" t="s">
        <v>226</v>
      </c>
      <c r="D147" s="73">
        <v>44774</v>
      </c>
      <c r="E147" s="23">
        <v>3.2639999999999998</v>
      </c>
      <c r="F147" s="24">
        <v>88</v>
      </c>
    </row>
    <row r="148" spans="2:6" x14ac:dyDescent="0.25">
      <c r="B148" s="3"/>
      <c r="C148" s="22" t="s">
        <v>226</v>
      </c>
      <c r="D148" s="73">
        <v>44805</v>
      </c>
      <c r="E148" s="23">
        <v>3.0310000000000001</v>
      </c>
      <c r="F148" s="24">
        <v>110</v>
      </c>
    </row>
    <row r="149" spans="2:6" x14ac:dyDescent="0.25">
      <c r="B149" s="3"/>
      <c r="C149" s="22" t="s">
        <v>170</v>
      </c>
      <c r="D149" s="73">
        <v>44713</v>
      </c>
      <c r="E149" s="23">
        <v>4.2279999999999998</v>
      </c>
      <c r="F149" s="24">
        <v>427</v>
      </c>
    </row>
    <row r="150" spans="2:6" x14ac:dyDescent="0.25">
      <c r="B150" s="3"/>
      <c r="C150" s="22" t="s">
        <v>170</v>
      </c>
      <c r="D150" s="73">
        <v>44743</v>
      </c>
      <c r="E150" s="23">
        <v>3.71</v>
      </c>
      <c r="F150" s="24">
        <v>295</v>
      </c>
    </row>
    <row r="151" spans="2:6" x14ac:dyDescent="0.25">
      <c r="B151" s="3"/>
      <c r="C151" s="22" t="s">
        <v>170</v>
      </c>
      <c r="D151" s="73">
        <v>44774</v>
      </c>
      <c r="E151" s="23">
        <v>3.3370000000000002</v>
      </c>
      <c r="F151" s="24">
        <v>315</v>
      </c>
    </row>
    <row r="152" spans="2:6" x14ac:dyDescent="0.25">
      <c r="B152" s="3"/>
      <c r="C152" s="22" t="s">
        <v>170</v>
      </c>
      <c r="D152" s="73">
        <v>44805</v>
      </c>
      <c r="E152" s="23">
        <v>2.9580000000000002</v>
      </c>
      <c r="F152" s="24">
        <v>296</v>
      </c>
    </row>
    <row r="153" spans="2:6" x14ac:dyDescent="0.25">
      <c r="B153" s="3"/>
      <c r="C153" s="22" t="s">
        <v>214</v>
      </c>
      <c r="D153" s="73">
        <v>44713</v>
      </c>
      <c r="E153" s="23">
        <v>4.2939999999999996</v>
      </c>
      <c r="F153" s="24">
        <v>162</v>
      </c>
    </row>
    <row r="154" spans="2:6" x14ac:dyDescent="0.25">
      <c r="B154" s="3"/>
      <c r="C154" s="22" t="s">
        <v>214</v>
      </c>
      <c r="D154" s="73">
        <v>44743</v>
      </c>
      <c r="E154" s="23">
        <v>3.835</v>
      </c>
      <c r="F154" s="24">
        <v>169</v>
      </c>
    </row>
    <row r="155" spans="2:6" x14ac:dyDescent="0.25">
      <c r="B155" s="3"/>
      <c r="C155" s="22" t="s">
        <v>214</v>
      </c>
      <c r="D155" s="73">
        <v>44774</v>
      </c>
      <c r="E155" s="23">
        <v>3.3919999999999999</v>
      </c>
      <c r="F155" s="24">
        <v>153</v>
      </c>
    </row>
    <row r="156" spans="2:6" x14ac:dyDescent="0.25">
      <c r="B156" s="3"/>
      <c r="C156" s="22" t="s">
        <v>214</v>
      </c>
      <c r="D156" s="73">
        <v>44805</v>
      </c>
      <c r="E156" s="23">
        <v>2.9870000000000001</v>
      </c>
      <c r="F156" s="24">
        <v>134</v>
      </c>
    </row>
    <row r="157" spans="2:6" x14ac:dyDescent="0.25">
      <c r="B157" s="3"/>
      <c r="C157" s="22" t="s">
        <v>203</v>
      </c>
      <c r="D157" s="73">
        <v>44713</v>
      </c>
      <c r="E157" s="23">
        <v>4.2619999999999996</v>
      </c>
      <c r="F157" s="24">
        <v>170</v>
      </c>
    </row>
    <row r="158" spans="2:6" x14ac:dyDescent="0.25">
      <c r="B158" s="3"/>
      <c r="C158" s="22" t="s">
        <v>203</v>
      </c>
      <c r="D158" s="73">
        <v>44743</v>
      </c>
      <c r="E158" s="23">
        <v>3.7240000000000002</v>
      </c>
      <c r="F158" s="24">
        <v>162</v>
      </c>
    </row>
    <row r="159" spans="2:6" x14ac:dyDescent="0.25">
      <c r="B159" s="3"/>
      <c r="C159" s="22" t="s">
        <v>203</v>
      </c>
      <c r="D159" s="73">
        <v>44774</v>
      </c>
      <c r="E159" s="23">
        <v>3.23</v>
      </c>
      <c r="F159" s="24">
        <v>180</v>
      </c>
    </row>
    <row r="160" spans="2:6" x14ac:dyDescent="0.25">
      <c r="B160" s="3"/>
      <c r="C160" s="22" t="s">
        <v>203</v>
      </c>
      <c r="D160" s="73">
        <v>44805</v>
      </c>
      <c r="E160" s="23">
        <v>3.07</v>
      </c>
      <c r="F160" s="24">
        <v>121</v>
      </c>
    </row>
    <row r="161" spans="2:6" x14ac:dyDescent="0.25">
      <c r="B161" s="3"/>
      <c r="C161" s="22" t="s">
        <v>229</v>
      </c>
      <c r="D161" s="73">
        <v>44713</v>
      </c>
      <c r="E161" s="23">
        <v>4.1420000000000003</v>
      </c>
      <c r="F161" s="24">
        <v>116</v>
      </c>
    </row>
    <row r="162" spans="2:6" x14ac:dyDescent="0.25">
      <c r="B162" s="3"/>
      <c r="C162" s="22" t="s">
        <v>229</v>
      </c>
      <c r="D162" s="73">
        <v>44743</v>
      </c>
      <c r="E162" s="23">
        <v>3.7189999999999999</v>
      </c>
      <c r="F162" s="24">
        <v>113</v>
      </c>
    </row>
    <row r="163" spans="2:6" x14ac:dyDescent="0.25">
      <c r="B163" s="3"/>
      <c r="C163" s="22" t="s">
        <v>229</v>
      </c>
      <c r="D163" s="73">
        <v>44774</v>
      </c>
      <c r="E163" s="23">
        <v>3.573</v>
      </c>
      <c r="F163" s="24">
        <v>110</v>
      </c>
    </row>
    <row r="164" spans="2:6" x14ac:dyDescent="0.25">
      <c r="B164" s="3"/>
      <c r="C164" s="22" t="s">
        <v>229</v>
      </c>
      <c r="D164" s="73">
        <v>44805</v>
      </c>
      <c r="E164" s="23">
        <v>2.952</v>
      </c>
      <c r="F164" s="24">
        <v>95</v>
      </c>
    </row>
    <row r="165" spans="2:6" x14ac:dyDescent="0.25">
      <c r="B165" s="3"/>
      <c r="C165" s="22" t="s">
        <v>219</v>
      </c>
      <c r="D165" s="73">
        <v>44713</v>
      </c>
      <c r="E165" s="23">
        <v>4.2130000000000001</v>
      </c>
      <c r="F165" s="24">
        <v>54</v>
      </c>
    </row>
    <row r="166" spans="2:6" x14ac:dyDescent="0.25">
      <c r="B166" s="3"/>
      <c r="C166" s="22" t="s">
        <v>219</v>
      </c>
      <c r="D166" s="73">
        <v>44743</v>
      </c>
      <c r="E166" s="23">
        <v>3.6930000000000001</v>
      </c>
      <c r="F166" s="24">
        <v>43</v>
      </c>
    </row>
    <row r="167" spans="2:6" x14ac:dyDescent="0.25">
      <c r="B167" s="3"/>
      <c r="C167" s="22" t="s">
        <v>219</v>
      </c>
      <c r="D167" s="73">
        <v>44774</v>
      </c>
      <c r="E167" s="23">
        <v>3.5249999999999999</v>
      </c>
      <c r="F167" s="24">
        <v>56</v>
      </c>
    </row>
    <row r="168" spans="2:6" x14ac:dyDescent="0.25">
      <c r="B168" s="3"/>
      <c r="C168" s="22" t="s">
        <v>219</v>
      </c>
      <c r="D168" s="73">
        <v>44805</v>
      </c>
      <c r="E168" s="23">
        <v>2.7719999999999998</v>
      </c>
      <c r="F168" s="24">
        <v>46</v>
      </c>
    </row>
    <row r="169" spans="2:6" x14ac:dyDescent="0.25">
      <c r="B169" s="3"/>
      <c r="C169" s="22" t="s">
        <v>191</v>
      </c>
      <c r="D169" s="73">
        <v>44713</v>
      </c>
      <c r="E169" s="23">
        <v>4.202</v>
      </c>
      <c r="F169" s="24">
        <v>265</v>
      </c>
    </row>
    <row r="170" spans="2:6" x14ac:dyDescent="0.25">
      <c r="B170" s="3"/>
      <c r="C170" s="22" t="s">
        <v>191</v>
      </c>
      <c r="D170" s="73">
        <v>44743</v>
      </c>
      <c r="E170" s="23">
        <v>3.7040000000000002</v>
      </c>
      <c r="F170" s="24">
        <v>192</v>
      </c>
    </row>
    <row r="171" spans="2:6" x14ac:dyDescent="0.25">
      <c r="B171" s="3"/>
      <c r="C171" s="22" t="s">
        <v>191</v>
      </c>
      <c r="D171" s="73">
        <v>44774</v>
      </c>
      <c r="E171" s="23">
        <v>3.3660000000000001</v>
      </c>
      <c r="F171" s="24">
        <v>175</v>
      </c>
    </row>
    <row r="172" spans="2:6" x14ac:dyDescent="0.25">
      <c r="B172" s="3"/>
      <c r="C172" s="22" t="s">
        <v>191</v>
      </c>
      <c r="D172" s="73">
        <v>44805</v>
      </c>
      <c r="E172" s="23">
        <v>3.0259999999999998</v>
      </c>
      <c r="F172" s="24">
        <v>180</v>
      </c>
    </row>
    <row r="173" spans="2:6" x14ac:dyDescent="0.25">
      <c r="B173" s="3"/>
      <c r="C173" s="22" t="s">
        <v>224</v>
      </c>
      <c r="D173" s="73">
        <v>44713</v>
      </c>
      <c r="E173" s="23">
        <v>4.1849999999999996</v>
      </c>
      <c r="F173" s="24">
        <v>114</v>
      </c>
    </row>
    <row r="174" spans="2:6" x14ac:dyDescent="0.25">
      <c r="B174" s="3"/>
      <c r="C174" s="22" t="s">
        <v>224</v>
      </c>
      <c r="D174" s="73">
        <v>44743</v>
      </c>
      <c r="E174" s="23">
        <v>3.7429999999999999</v>
      </c>
      <c r="F174" s="24">
        <v>97</v>
      </c>
    </row>
    <row r="175" spans="2:6" x14ac:dyDescent="0.25">
      <c r="B175" s="3"/>
      <c r="C175" s="22" t="s">
        <v>224</v>
      </c>
      <c r="D175" s="73">
        <v>44774</v>
      </c>
      <c r="E175" s="23">
        <v>3.3719999999999999</v>
      </c>
      <c r="F175" s="24">
        <v>126</v>
      </c>
    </row>
    <row r="176" spans="2:6" x14ac:dyDescent="0.25">
      <c r="B176" s="3"/>
      <c r="C176" s="22" t="s">
        <v>224</v>
      </c>
      <c r="D176" s="73">
        <v>44805</v>
      </c>
      <c r="E176" s="23">
        <v>2.9359999999999999</v>
      </c>
      <c r="F176" s="24">
        <v>84</v>
      </c>
    </row>
    <row r="177" spans="2:6" x14ac:dyDescent="0.25">
      <c r="B177" s="3"/>
      <c r="C177" s="22" t="s">
        <v>128</v>
      </c>
      <c r="D177" s="73">
        <v>44713</v>
      </c>
      <c r="E177" s="23">
        <v>4.2030000000000003</v>
      </c>
      <c r="F177" s="24">
        <v>69</v>
      </c>
    </row>
    <row r="178" spans="2:6" x14ac:dyDescent="0.25">
      <c r="B178" s="3"/>
      <c r="C178" s="22" t="s">
        <v>128</v>
      </c>
      <c r="D178" s="73">
        <v>44743</v>
      </c>
      <c r="E178" s="23">
        <v>4.0810000000000004</v>
      </c>
      <c r="F178" s="24">
        <v>49</v>
      </c>
    </row>
    <row r="179" spans="2:6" x14ac:dyDescent="0.25">
      <c r="B179" s="3"/>
      <c r="C179" s="22" t="s">
        <v>128</v>
      </c>
      <c r="D179" s="73">
        <v>44774</v>
      </c>
      <c r="E179" s="23">
        <v>3.39</v>
      </c>
      <c r="F179" s="24">
        <v>60</v>
      </c>
    </row>
    <row r="180" spans="2:6" x14ac:dyDescent="0.25">
      <c r="B180" s="3"/>
      <c r="C180" s="22" t="s">
        <v>128</v>
      </c>
      <c r="D180" s="73">
        <v>44805</v>
      </c>
      <c r="E180" s="23">
        <v>3.3740000000000001</v>
      </c>
      <c r="F180" s="24">
        <v>53</v>
      </c>
    </row>
    <row r="181" spans="2:6" x14ac:dyDescent="0.25">
      <c r="B181" s="3"/>
      <c r="C181" s="22" t="s">
        <v>212</v>
      </c>
      <c r="D181" s="73">
        <v>44713</v>
      </c>
      <c r="E181" s="23">
        <v>4.218</v>
      </c>
      <c r="F181" s="24">
        <v>173</v>
      </c>
    </row>
    <row r="182" spans="2:6" x14ac:dyDescent="0.25">
      <c r="B182" s="3"/>
      <c r="C182" s="22" t="s">
        <v>212</v>
      </c>
      <c r="D182" s="73">
        <v>44743</v>
      </c>
      <c r="E182" s="23">
        <v>3.6659999999999999</v>
      </c>
      <c r="F182" s="24">
        <v>182</v>
      </c>
    </row>
    <row r="183" spans="2:6" x14ac:dyDescent="0.25">
      <c r="B183" s="3"/>
      <c r="C183" s="22" t="s">
        <v>212</v>
      </c>
      <c r="D183" s="73">
        <v>44774</v>
      </c>
      <c r="E183" s="23">
        <v>3.4769999999999999</v>
      </c>
      <c r="F183" s="24">
        <v>153</v>
      </c>
    </row>
    <row r="184" spans="2:6" x14ac:dyDescent="0.25">
      <c r="B184" s="3"/>
      <c r="C184" s="22" t="s">
        <v>212</v>
      </c>
      <c r="D184" s="73">
        <v>44805</v>
      </c>
      <c r="E184" s="23">
        <v>2.972</v>
      </c>
      <c r="F184" s="24">
        <v>144</v>
      </c>
    </row>
    <row r="185" spans="2:6" x14ac:dyDescent="0.25">
      <c r="B185" s="3"/>
      <c r="C185" s="22" t="s">
        <v>178</v>
      </c>
      <c r="D185" s="73">
        <v>44713</v>
      </c>
      <c r="E185" s="23">
        <v>4.26</v>
      </c>
      <c r="F185" s="24">
        <v>253</v>
      </c>
    </row>
    <row r="186" spans="2:6" x14ac:dyDescent="0.25">
      <c r="B186" s="3"/>
      <c r="C186" s="22" t="s">
        <v>178</v>
      </c>
      <c r="D186" s="73">
        <v>44743</v>
      </c>
      <c r="E186" s="23">
        <v>3.7650000000000001</v>
      </c>
      <c r="F186" s="24">
        <v>226</v>
      </c>
    </row>
    <row r="187" spans="2:6" x14ac:dyDescent="0.25">
      <c r="B187" s="3"/>
      <c r="C187" s="22" t="s">
        <v>178</v>
      </c>
      <c r="D187" s="73">
        <v>44774</v>
      </c>
      <c r="E187" s="23">
        <v>3.3559999999999999</v>
      </c>
      <c r="F187" s="24">
        <v>190</v>
      </c>
    </row>
    <row r="188" spans="2:6" x14ac:dyDescent="0.25">
      <c r="B188" s="3"/>
      <c r="C188" s="22" t="s">
        <v>178</v>
      </c>
      <c r="D188" s="73">
        <v>44805</v>
      </c>
      <c r="E188" s="23">
        <v>2.9340000000000002</v>
      </c>
      <c r="F188" s="24">
        <v>174</v>
      </c>
    </row>
    <row r="189" spans="2:6" x14ac:dyDescent="0.25">
      <c r="B189" s="3"/>
      <c r="C189" s="22" t="s">
        <v>195</v>
      </c>
      <c r="D189" s="73">
        <v>44713</v>
      </c>
      <c r="E189" s="23">
        <v>4.2</v>
      </c>
      <c r="F189" s="24">
        <v>198</v>
      </c>
    </row>
    <row r="190" spans="2:6" x14ac:dyDescent="0.25">
      <c r="B190" s="3"/>
      <c r="C190" s="22" t="s">
        <v>195</v>
      </c>
      <c r="D190" s="73">
        <v>44743</v>
      </c>
      <c r="E190" s="23">
        <v>3.806</v>
      </c>
      <c r="F190" s="24">
        <v>170</v>
      </c>
    </row>
    <row r="191" spans="2:6" x14ac:dyDescent="0.25">
      <c r="B191" s="3"/>
      <c r="C191" s="22" t="s">
        <v>195</v>
      </c>
      <c r="D191" s="73">
        <v>44774</v>
      </c>
      <c r="E191" s="23">
        <v>3.3279999999999998</v>
      </c>
      <c r="F191" s="24">
        <v>152</v>
      </c>
    </row>
    <row r="192" spans="2:6" x14ac:dyDescent="0.25">
      <c r="B192" s="3"/>
      <c r="C192" s="22" t="s">
        <v>195</v>
      </c>
      <c r="D192" s="73">
        <v>44805</v>
      </c>
      <c r="E192" s="23">
        <v>3.0529999999999999</v>
      </c>
      <c r="F192" s="24">
        <v>129</v>
      </c>
    </row>
    <row r="193" spans="2:6" x14ac:dyDescent="0.25">
      <c r="B193" s="3"/>
      <c r="C193" s="22" t="s">
        <v>130</v>
      </c>
      <c r="D193" s="73">
        <v>44713</v>
      </c>
      <c r="E193" s="23">
        <v>4.1379999999999999</v>
      </c>
      <c r="F193" s="24">
        <v>385</v>
      </c>
    </row>
    <row r="194" spans="2:6" x14ac:dyDescent="0.25">
      <c r="B194" s="3"/>
      <c r="C194" s="22" t="s">
        <v>130</v>
      </c>
      <c r="D194" s="73">
        <v>44743</v>
      </c>
      <c r="E194" s="23">
        <v>3.746</v>
      </c>
      <c r="F194" s="24">
        <v>334</v>
      </c>
    </row>
    <row r="195" spans="2:6" x14ac:dyDescent="0.25">
      <c r="B195" s="3"/>
      <c r="C195" s="22" t="s">
        <v>130</v>
      </c>
      <c r="D195" s="73">
        <v>44774</v>
      </c>
      <c r="E195" s="23">
        <v>3.395</v>
      </c>
      <c r="F195" s="24">
        <v>301</v>
      </c>
    </row>
    <row r="196" spans="2:6" x14ac:dyDescent="0.25">
      <c r="B196" s="3"/>
      <c r="C196" s="22" t="s">
        <v>130</v>
      </c>
      <c r="D196" s="73">
        <v>44805</v>
      </c>
      <c r="E196" s="23">
        <v>3.1240000000000001</v>
      </c>
      <c r="F196" s="24">
        <v>280</v>
      </c>
    </row>
    <row r="197" spans="2:6" x14ac:dyDescent="0.25">
      <c r="B197" s="3"/>
      <c r="C197" s="22" t="s">
        <v>210</v>
      </c>
      <c r="D197" s="73">
        <v>44713</v>
      </c>
      <c r="E197" s="23">
        <v>4.282</v>
      </c>
      <c r="F197" s="24">
        <v>187</v>
      </c>
    </row>
    <row r="198" spans="2:6" x14ac:dyDescent="0.25">
      <c r="B198" s="3"/>
      <c r="C198" s="22" t="s">
        <v>210</v>
      </c>
      <c r="D198" s="73">
        <v>44743</v>
      </c>
      <c r="E198" s="23">
        <v>3.5630000000000002</v>
      </c>
      <c r="F198" s="24">
        <v>183</v>
      </c>
    </row>
    <row r="199" spans="2:6" x14ac:dyDescent="0.25">
      <c r="B199" s="3"/>
      <c r="C199" s="22" t="s">
        <v>210</v>
      </c>
      <c r="D199" s="73">
        <v>44774</v>
      </c>
      <c r="E199" s="23">
        <v>3.3069999999999999</v>
      </c>
      <c r="F199" s="24">
        <v>134</v>
      </c>
    </row>
    <row r="200" spans="2:6" x14ac:dyDescent="0.25">
      <c r="B200" s="3"/>
      <c r="C200" s="22" t="s">
        <v>210</v>
      </c>
      <c r="D200" s="73">
        <v>44805</v>
      </c>
      <c r="E200" s="23">
        <v>3.161</v>
      </c>
      <c r="F200" s="24">
        <v>133</v>
      </c>
    </row>
    <row r="201" spans="2:6" x14ac:dyDescent="0.25">
      <c r="B201" s="3"/>
      <c r="C201" s="22" t="s">
        <v>220</v>
      </c>
      <c r="D201" s="73">
        <v>44713</v>
      </c>
      <c r="E201" s="23">
        <v>4.431</v>
      </c>
      <c r="F201" s="24">
        <v>130</v>
      </c>
    </row>
    <row r="202" spans="2:6" x14ac:dyDescent="0.25">
      <c r="B202" s="3"/>
      <c r="C202" s="22" t="s">
        <v>220</v>
      </c>
      <c r="D202" s="73">
        <v>44743</v>
      </c>
      <c r="E202" s="23">
        <v>3.9020000000000001</v>
      </c>
      <c r="F202" s="24">
        <v>91</v>
      </c>
    </row>
    <row r="203" spans="2:6" x14ac:dyDescent="0.25">
      <c r="B203" s="3"/>
      <c r="C203" s="22" t="s">
        <v>220</v>
      </c>
      <c r="D203" s="73">
        <v>44774</v>
      </c>
      <c r="E203" s="23">
        <v>3.4079999999999999</v>
      </c>
      <c r="F203" s="24">
        <v>91</v>
      </c>
    </row>
    <row r="204" spans="2:6" x14ac:dyDescent="0.25">
      <c r="B204" s="3"/>
      <c r="C204" s="22" t="s">
        <v>220</v>
      </c>
      <c r="D204" s="73">
        <v>44805</v>
      </c>
      <c r="E204" s="23">
        <v>3.0089999999999999</v>
      </c>
      <c r="F204" s="24">
        <v>95</v>
      </c>
    </row>
    <row r="205" spans="2:6" x14ac:dyDescent="0.25">
      <c r="B205" s="3"/>
      <c r="C205" s="22" t="s">
        <v>199</v>
      </c>
      <c r="D205" s="73">
        <v>44713</v>
      </c>
      <c r="E205" s="23">
        <v>4.2729999999999997</v>
      </c>
      <c r="F205" s="24">
        <v>108</v>
      </c>
    </row>
    <row r="206" spans="2:6" x14ac:dyDescent="0.25">
      <c r="B206" s="3"/>
      <c r="C206" s="22" t="s">
        <v>199</v>
      </c>
      <c r="D206" s="73">
        <v>44743</v>
      </c>
      <c r="E206" s="23">
        <v>3.657</v>
      </c>
      <c r="F206" s="24">
        <v>117</v>
      </c>
    </row>
    <row r="207" spans="2:6" x14ac:dyDescent="0.25">
      <c r="B207" s="3"/>
      <c r="C207" s="22" t="s">
        <v>199</v>
      </c>
      <c r="D207" s="73">
        <v>44774</v>
      </c>
      <c r="E207" s="23">
        <v>3.3980000000000001</v>
      </c>
      <c r="F207" s="24">
        <v>109</v>
      </c>
    </row>
    <row r="208" spans="2:6" x14ac:dyDescent="0.25">
      <c r="B208" s="3"/>
      <c r="C208" s="22" t="s">
        <v>199</v>
      </c>
      <c r="D208" s="73">
        <v>44805</v>
      </c>
      <c r="E208" s="23">
        <v>3.04</v>
      </c>
      <c r="F208" s="24">
        <v>92</v>
      </c>
    </row>
    <row r="209" spans="2:6" x14ac:dyDescent="0.25">
      <c r="B209" s="3"/>
      <c r="C209" s="22" t="s">
        <v>185</v>
      </c>
      <c r="D209" s="73">
        <v>44713</v>
      </c>
      <c r="E209" s="23">
        <v>4.1950000000000003</v>
      </c>
      <c r="F209" s="24">
        <v>193</v>
      </c>
    </row>
    <row r="210" spans="2:6" x14ac:dyDescent="0.25">
      <c r="B210" s="3"/>
      <c r="C210" s="22" t="s">
        <v>185</v>
      </c>
      <c r="D210" s="73">
        <v>44743</v>
      </c>
      <c r="E210" s="23">
        <v>3.6709999999999998</v>
      </c>
      <c r="F210" s="24">
        <v>180</v>
      </c>
    </row>
    <row r="211" spans="2:6" x14ac:dyDescent="0.25">
      <c r="B211" s="3"/>
      <c r="C211" s="22" t="s">
        <v>185</v>
      </c>
      <c r="D211" s="73">
        <v>44774</v>
      </c>
      <c r="E211" s="23">
        <v>3.464</v>
      </c>
      <c r="F211" s="24">
        <v>134</v>
      </c>
    </row>
    <row r="212" spans="2:6" x14ac:dyDescent="0.25">
      <c r="B212" s="3"/>
      <c r="C212" s="22" t="s">
        <v>185</v>
      </c>
      <c r="D212" s="73">
        <v>44805</v>
      </c>
      <c r="E212" s="23">
        <v>3.0619999999999998</v>
      </c>
      <c r="F212" s="24">
        <v>129</v>
      </c>
    </row>
    <row r="213" spans="2:6" x14ac:dyDescent="0.25">
      <c r="B213" s="3"/>
      <c r="C213" s="22" t="s">
        <v>222</v>
      </c>
      <c r="D213" s="73">
        <v>44713</v>
      </c>
      <c r="E213" s="23">
        <v>4.133</v>
      </c>
      <c r="F213" s="24">
        <v>125</v>
      </c>
    </row>
    <row r="214" spans="2:6" x14ac:dyDescent="0.25">
      <c r="B214" s="3"/>
      <c r="C214" s="22" t="s">
        <v>222</v>
      </c>
      <c r="D214" s="73">
        <v>44743</v>
      </c>
      <c r="E214" s="23">
        <v>3.6669999999999998</v>
      </c>
      <c r="F214" s="24">
        <v>107</v>
      </c>
    </row>
    <row r="215" spans="2:6" x14ac:dyDescent="0.25">
      <c r="B215" s="3"/>
      <c r="C215" s="22" t="s">
        <v>222</v>
      </c>
      <c r="D215" s="73">
        <v>44774</v>
      </c>
      <c r="E215" s="23">
        <v>3.3479999999999999</v>
      </c>
      <c r="F215" s="24">
        <v>105</v>
      </c>
    </row>
    <row r="216" spans="2:6" x14ac:dyDescent="0.25">
      <c r="B216" s="3"/>
      <c r="C216" s="22" t="s">
        <v>222</v>
      </c>
      <c r="D216" s="73">
        <v>44805</v>
      </c>
      <c r="E216" s="23">
        <v>3.1970000000000001</v>
      </c>
      <c r="F216" s="24">
        <v>87</v>
      </c>
    </row>
    <row r="217" spans="2:6" x14ac:dyDescent="0.25">
      <c r="B217" s="3"/>
      <c r="C217" s="22" t="s">
        <v>168</v>
      </c>
      <c r="D217" s="73">
        <v>44713</v>
      </c>
      <c r="E217" s="23">
        <v>4.1340000000000003</v>
      </c>
      <c r="F217" s="24">
        <v>328</v>
      </c>
    </row>
    <row r="218" spans="2:6" x14ac:dyDescent="0.25">
      <c r="B218" s="3"/>
      <c r="C218" s="22" t="s">
        <v>168</v>
      </c>
      <c r="D218" s="73">
        <v>44743</v>
      </c>
      <c r="E218" s="23">
        <v>3.7679999999999998</v>
      </c>
      <c r="F218" s="24">
        <v>285</v>
      </c>
    </row>
    <row r="219" spans="2:6" x14ac:dyDescent="0.25">
      <c r="B219" s="3"/>
      <c r="C219" s="22" t="s">
        <v>168</v>
      </c>
      <c r="D219" s="73">
        <v>44774</v>
      </c>
      <c r="E219" s="23">
        <v>3.42</v>
      </c>
      <c r="F219" s="24">
        <v>295</v>
      </c>
    </row>
    <row r="220" spans="2:6" x14ac:dyDescent="0.25">
      <c r="B220" s="3"/>
      <c r="C220" s="22" t="s">
        <v>168</v>
      </c>
      <c r="D220" s="73">
        <v>44805</v>
      </c>
      <c r="E220" s="23">
        <v>2.9750000000000001</v>
      </c>
      <c r="F220" s="24">
        <v>247</v>
      </c>
    </row>
    <row r="221" spans="2:6" x14ac:dyDescent="0.25">
      <c r="B221" s="3"/>
      <c r="C221" s="22" t="s">
        <v>187</v>
      </c>
      <c r="D221" s="73">
        <v>44713</v>
      </c>
      <c r="E221" s="23">
        <v>4.1230000000000002</v>
      </c>
      <c r="F221" s="24">
        <v>134</v>
      </c>
    </row>
    <row r="222" spans="2:6" x14ac:dyDescent="0.25">
      <c r="B222" s="3"/>
      <c r="C222" s="22" t="s">
        <v>187</v>
      </c>
      <c r="D222" s="73">
        <v>44743</v>
      </c>
      <c r="E222" s="23">
        <v>3.8119999999999998</v>
      </c>
      <c r="F222" s="24">
        <v>110</v>
      </c>
    </row>
    <row r="223" spans="2:6" x14ac:dyDescent="0.25">
      <c r="B223" s="3"/>
      <c r="C223" s="22" t="s">
        <v>187</v>
      </c>
      <c r="D223" s="73">
        <v>44774</v>
      </c>
      <c r="E223" s="23">
        <v>3.4129999999999998</v>
      </c>
      <c r="F223" s="24">
        <v>81</v>
      </c>
    </row>
    <row r="224" spans="2:6" x14ac:dyDescent="0.25">
      <c r="B224" s="3"/>
      <c r="C224" s="22" t="s">
        <v>187</v>
      </c>
      <c r="D224" s="73">
        <v>44805</v>
      </c>
      <c r="E224" s="23">
        <v>3.032</v>
      </c>
      <c r="F224" s="24">
        <v>112</v>
      </c>
    </row>
    <row r="225" spans="2:6" x14ac:dyDescent="0.25">
      <c r="B225" s="3"/>
      <c r="C225" s="22" t="s">
        <v>163</v>
      </c>
      <c r="D225" s="73">
        <v>44713</v>
      </c>
      <c r="E225" s="23">
        <v>4.2469999999999999</v>
      </c>
      <c r="F225" s="24">
        <v>426</v>
      </c>
    </row>
    <row r="226" spans="2:6" x14ac:dyDescent="0.25">
      <c r="B226" s="3"/>
      <c r="C226" s="22" t="s">
        <v>163</v>
      </c>
      <c r="D226" s="73">
        <v>44743</v>
      </c>
      <c r="E226" s="23">
        <v>3.7469999999999999</v>
      </c>
      <c r="F226" s="24">
        <v>358</v>
      </c>
    </row>
    <row r="227" spans="2:6" x14ac:dyDescent="0.25">
      <c r="B227" s="3"/>
      <c r="C227" s="22" t="s">
        <v>163</v>
      </c>
      <c r="D227" s="73">
        <v>44774</v>
      </c>
      <c r="E227" s="23">
        <v>3.327</v>
      </c>
      <c r="F227" s="24">
        <v>335</v>
      </c>
    </row>
    <row r="228" spans="2:6" x14ac:dyDescent="0.25">
      <c r="B228" s="3"/>
      <c r="C228" s="22" t="s">
        <v>163</v>
      </c>
      <c r="D228" s="73">
        <v>44805</v>
      </c>
      <c r="E228" s="23">
        <v>3.0449999999999999</v>
      </c>
      <c r="F228" s="24">
        <v>337</v>
      </c>
    </row>
    <row r="229" spans="2:6" x14ac:dyDescent="0.25">
      <c r="B229" s="3"/>
      <c r="C229" s="22" t="s">
        <v>231</v>
      </c>
      <c r="D229" s="73">
        <v>44713</v>
      </c>
      <c r="E229" s="23">
        <v>4.3979999999999997</v>
      </c>
      <c r="F229" s="24">
        <v>68</v>
      </c>
    </row>
    <row r="230" spans="2:6" x14ac:dyDescent="0.25">
      <c r="B230" s="3"/>
      <c r="C230" s="22" t="s">
        <v>231</v>
      </c>
      <c r="D230" s="73">
        <v>44743</v>
      </c>
      <c r="E230" s="23">
        <v>3.5089999999999999</v>
      </c>
      <c r="F230" s="24">
        <v>49</v>
      </c>
    </row>
    <row r="231" spans="2:6" x14ac:dyDescent="0.25">
      <c r="B231" s="3"/>
      <c r="C231" s="22" t="s">
        <v>231</v>
      </c>
      <c r="D231" s="73">
        <v>44774</v>
      </c>
      <c r="E231" s="23">
        <v>3.2370000000000001</v>
      </c>
      <c r="F231" s="24">
        <v>65</v>
      </c>
    </row>
    <row r="232" spans="2:6" x14ac:dyDescent="0.25">
      <c r="B232" s="3"/>
      <c r="C232" s="22" t="s">
        <v>231</v>
      </c>
      <c r="D232" s="73">
        <v>44805</v>
      </c>
      <c r="E232" s="23">
        <v>2.6110000000000002</v>
      </c>
      <c r="F232" s="24">
        <v>41</v>
      </c>
    </row>
    <row r="233" spans="2:6" x14ac:dyDescent="0.25">
      <c r="B233" s="3"/>
      <c r="C233" s="22" t="s">
        <v>196</v>
      </c>
      <c r="D233" s="73">
        <v>44713</v>
      </c>
      <c r="E233" s="23">
        <v>4.2279999999999998</v>
      </c>
      <c r="F233" s="24">
        <v>176</v>
      </c>
    </row>
    <row r="234" spans="2:6" x14ac:dyDescent="0.25">
      <c r="B234" s="3"/>
      <c r="C234" s="22" t="s">
        <v>196</v>
      </c>
      <c r="D234" s="73">
        <v>44743</v>
      </c>
      <c r="E234" s="23">
        <v>3.7989999999999999</v>
      </c>
      <c r="F234" s="24">
        <v>177</v>
      </c>
    </row>
    <row r="235" spans="2:6" x14ac:dyDescent="0.25">
      <c r="B235" s="3"/>
      <c r="C235" s="22" t="s">
        <v>196</v>
      </c>
      <c r="D235" s="73">
        <v>44774</v>
      </c>
      <c r="E235" s="23">
        <v>3.2570000000000001</v>
      </c>
      <c r="F235" s="24">
        <v>170</v>
      </c>
    </row>
    <row r="236" spans="2:6" x14ac:dyDescent="0.25">
      <c r="B236" s="3"/>
      <c r="C236" s="22" t="s">
        <v>196</v>
      </c>
      <c r="D236" s="73">
        <v>44805</v>
      </c>
      <c r="E236" s="23">
        <v>3.0129999999999999</v>
      </c>
      <c r="F236" s="24">
        <v>152</v>
      </c>
    </row>
    <row r="237" spans="2:6" x14ac:dyDescent="0.25">
      <c r="B237" s="3"/>
      <c r="C237" s="22" t="s">
        <v>109</v>
      </c>
      <c r="D237" s="73">
        <v>44713</v>
      </c>
      <c r="E237" s="23">
        <v>4.1369999999999996</v>
      </c>
      <c r="F237" s="24">
        <v>119</v>
      </c>
    </row>
    <row r="238" spans="2:6" x14ac:dyDescent="0.25">
      <c r="B238" s="3"/>
      <c r="C238" s="22" t="s">
        <v>109</v>
      </c>
      <c r="D238" s="73">
        <v>44743</v>
      </c>
      <c r="E238" s="23">
        <v>3.7109999999999999</v>
      </c>
      <c r="F238" s="24">
        <v>116</v>
      </c>
    </row>
    <row r="239" spans="2:6" x14ac:dyDescent="0.25">
      <c r="B239" s="3"/>
      <c r="C239" s="22" t="s">
        <v>109</v>
      </c>
      <c r="D239" s="73">
        <v>44774</v>
      </c>
      <c r="E239" s="23">
        <v>3.5350000000000001</v>
      </c>
      <c r="F239" s="24">
        <v>90</v>
      </c>
    </row>
    <row r="240" spans="2:6" x14ac:dyDescent="0.25">
      <c r="B240" s="3"/>
      <c r="C240" s="22" t="s">
        <v>109</v>
      </c>
      <c r="D240" s="73">
        <v>44805</v>
      </c>
      <c r="E240" s="23">
        <v>3.0539999999999998</v>
      </c>
      <c r="F240" s="24">
        <v>97</v>
      </c>
    </row>
    <row r="241" spans="2:6" x14ac:dyDescent="0.25">
      <c r="B241" s="3"/>
      <c r="C241" s="22" t="s">
        <v>193</v>
      </c>
      <c r="D241" s="73">
        <v>44713</v>
      </c>
      <c r="E241" s="23">
        <v>4.2270000000000003</v>
      </c>
      <c r="F241" s="24">
        <v>213</v>
      </c>
    </row>
    <row r="242" spans="2:6" x14ac:dyDescent="0.25">
      <c r="B242" s="3"/>
      <c r="C242" s="22" t="s">
        <v>193</v>
      </c>
      <c r="D242" s="73">
        <v>44743</v>
      </c>
      <c r="E242" s="23">
        <v>3.6389999999999998</v>
      </c>
      <c r="F242" s="24">
        <v>169</v>
      </c>
    </row>
    <row r="243" spans="2:6" x14ac:dyDescent="0.25">
      <c r="B243" s="3"/>
      <c r="C243" s="22" t="s">
        <v>193</v>
      </c>
      <c r="D243" s="73">
        <v>44774</v>
      </c>
      <c r="E243" s="23">
        <v>3.355</v>
      </c>
      <c r="F243" s="24">
        <v>160</v>
      </c>
    </row>
    <row r="244" spans="2:6" x14ac:dyDescent="0.25">
      <c r="B244" s="3"/>
      <c r="C244" s="22" t="s">
        <v>193</v>
      </c>
      <c r="D244" s="73">
        <v>44805</v>
      </c>
      <c r="E244" s="23">
        <v>3.01</v>
      </c>
      <c r="F244" s="24">
        <v>145</v>
      </c>
    </row>
    <row r="245" spans="2:6" x14ac:dyDescent="0.25">
      <c r="B245" s="3"/>
      <c r="C245" s="22" t="s">
        <v>184</v>
      </c>
      <c r="D245" s="73">
        <v>44713</v>
      </c>
      <c r="E245" s="23">
        <v>4.2460000000000004</v>
      </c>
      <c r="F245" s="24">
        <v>302</v>
      </c>
    </row>
    <row r="246" spans="2:6" x14ac:dyDescent="0.25">
      <c r="B246" s="3"/>
      <c r="C246" s="22" t="s">
        <v>184</v>
      </c>
      <c r="D246" s="73">
        <v>44743</v>
      </c>
      <c r="E246" s="23">
        <v>3.7429999999999999</v>
      </c>
      <c r="F246" s="24">
        <v>277</v>
      </c>
    </row>
    <row r="247" spans="2:6" x14ac:dyDescent="0.25">
      <c r="B247" s="3"/>
      <c r="C247" s="22" t="s">
        <v>184</v>
      </c>
      <c r="D247" s="73">
        <v>44774</v>
      </c>
      <c r="E247" s="23">
        <v>3.274</v>
      </c>
      <c r="F247" s="24">
        <v>230</v>
      </c>
    </row>
    <row r="248" spans="2:6" x14ac:dyDescent="0.25">
      <c r="B248" s="3"/>
      <c r="C248" s="22" t="s">
        <v>184</v>
      </c>
      <c r="D248" s="73">
        <v>44805</v>
      </c>
      <c r="E248" s="23">
        <v>2.923</v>
      </c>
      <c r="F248" s="24">
        <v>238</v>
      </c>
    </row>
    <row r="249" spans="2:6" x14ac:dyDescent="0.25">
      <c r="B249" s="3"/>
      <c r="C249" s="22" t="s">
        <v>207</v>
      </c>
      <c r="D249" s="73">
        <v>44713</v>
      </c>
      <c r="E249" s="23">
        <v>4.2329999999999997</v>
      </c>
      <c r="F249" s="24">
        <v>167</v>
      </c>
    </row>
    <row r="250" spans="2:6" x14ac:dyDescent="0.25">
      <c r="B250" s="3"/>
      <c r="C250" s="22" t="s">
        <v>207</v>
      </c>
      <c r="D250" s="73">
        <v>44743</v>
      </c>
      <c r="E250" s="23">
        <v>3.7410000000000001</v>
      </c>
      <c r="F250" s="24">
        <v>157</v>
      </c>
    </row>
    <row r="251" spans="2:6" x14ac:dyDescent="0.25">
      <c r="B251" s="3"/>
      <c r="C251" s="22" t="s">
        <v>207</v>
      </c>
      <c r="D251" s="73">
        <v>44774</v>
      </c>
      <c r="E251" s="23">
        <v>3.319</v>
      </c>
      <c r="F251" s="24">
        <v>158</v>
      </c>
    </row>
    <row r="252" spans="2:6" x14ac:dyDescent="0.25">
      <c r="B252" s="3"/>
      <c r="C252" s="22" t="s">
        <v>207</v>
      </c>
      <c r="D252" s="73">
        <v>44805</v>
      </c>
      <c r="E252" s="23">
        <v>3.0270000000000001</v>
      </c>
      <c r="F252" s="24">
        <v>141</v>
      </c>
    </row>
    <row r="253" spans="2:6" x14ac:dyDescent="0.25">
      <c r="B253" s="3"/>
      <c r="C253" s="22" t="s">
        <v>190</v>
      </c>
      <c r="D253" s="73">
        <v>44713</v>
      </c>
      <c r="E253" s="23">
        <v>4.194</v>
      </c>
      <c r="F253" s="24">
        <v>129</v>
      </c>
    </row>
    <row r="254" spans="2:6" x14ac:dyDescent="0.25">
      <c r="B254" s="3"/>
      <c r="C254" s="22" t="s">
        <v>190</v>
      </c>
      <c r="D254" s="73">
        <v>44743</v>
      </c>
      <c r="E254" s="23">
        <v>3.6840000000000002</v>
      </c>
      <c r="F254" s="24">
        <v>103</v>
      </c>
    </row>
    <row r="255" spans="2:6" x14ac:dyDescent="0.25">
      <c r="B255" s="3"/>
      <c r="C255" s="22" t="s">
        <v>190</v>
      </c>
      <c r="D255" s="73">
        <v>44774</v>
      </c>
      <c r="E255" s="23">
        <v>3.5249999999999999</v>
      </c>
      <c r="F255" s="24">
        <v>112</v>
      </c>
    </row>
    <row r="256" spans="2:6" x14ac:dyDescent="0.25">
      <c r="B256" s="3"/>
      <c r="C256" s="22" t="s">
        <v>190</v>
      </c>
      <c r="D256" s="73">
        <v>44805</v>
      </c>
      <c r="E256" s="23">
        <v>3.1230000000000002</v>
      </c>
      <c r="F256" s="24">
        <v>101</v>
      </c>
    </row>
    <row r="257" spans="2:6" x14ac:dyDescent="0.25">
      <c r="B257" s="3"/>
      <c r="C257" s="22" t="s">
        <v>218</v>
      </c>
      <c r="D257" s="73">
        <v>44713</v>
      </c>
      <c r="E257" s="23">
        <v>4.1289999999999996</v>
      </c>
      <c r="F257" s="24">
        <v>139</v>
      </c>
    </row>
    <row r="258" spans="2:6" x14ac:dyDescent="0.25">
      <c r="B258" s="3"/>
      <c r="C258" s="22" t="s">
        <v>218</v>
      </c>
      <c r="D258" s="73">
        <v>44743</v>
      </c>
      <c r="E258" s="23">
        <v>3.61</v>
      </c>
      <c r="F258" s="24">
        <v>95</v>
      </c>
    </row>
    <row r="259" spans="2:6" x14ac:dyDescent="0.25">
      <c r="B259" s="3"/>
      <c r="C259" s="22" t="s">
        <v>218</v>
      </c>
      <c r="D259" s="73">
        <v>44774</v>
      </c>
      <c r="E259" s="23">
        <v>3.2309999999999999</v>
      </c>
      <c r="F259" s="24">
        <v>84</v>
      </c>
    </row>
    <row r="260" spans="2:6" x14ac:dyDescent="0.25">
      <c r="B260" s="3"/>
      <c r="C260" s="22" t="s">
        <v>218</v>
      </c>
      <c r="D260" s="73">
        <v>44805</v>
      </c>
      <c r="E260" s="23">
        <v>2.847</v>
      </c>
      <c r="F260" s="24">
        <v>97</v>
      </c>
    </row>
    <row r="261" spans="2:6" x14ac:dyDescent="0.25">
      <c r="B261" s="3"/>
      <c r="C261" s="22" t="s">
        <v>216</v>
      </c>
      <c r="D261" s="73">
        <v>44713</v>
      </c>
      <c r="E261" s="23">
        <v>4.1529999999999996</v>
      </c>
      <c r="F261" s="24">
        <v>56</v>
      </c>
    </row>
    <row r="262" spans="2:6" x14ac:dyDescent="0.25">
      <c r="B262" s="3"/>
      <c r="C262" s="22" t="s">
        <v>216</v>
      </c>
      <c r="D262" s="73">
        <v>44743</v>
      </c>
      <c r="E262" s="23">
        <v>3.7450000000000001</v>
      </c>
      <c r="F262" s="24">
        <v>62</v>
      </c>
    </row>
    <row r="263" spans="2:6" x14ac:dyDescent="0.25">
      <c r="B263" s="3"/>
      <c r="C263" s="22" t="s">
        <v>216</v>
      </c>
      <c r="D263" s="73">
        <v>44774</v>
      </c>
      <c r="E263" s="23">
        <v>3.4449999999999998</v>
      </c>
      <c r="F263" s="24">
        <v>52</v>
      </c>
    </row>
    <row r="264" spans="2:6" x14ac:dyDescent="0.25">
      <c r="B264" s="3"/>
      <c r="C264" s="22" t="s">
        <v>216</v>
      </c>
      <c r="D264" s="73">
        <v>44805</v>
      </c>
      <c r="E264" s="23">
        <v>3.0190000000000001</v>
      </c>
      <c r="F264" s="24">
        <v>49</v>
      </c>
    </row>
    <row r="265" spans="2:6" x14ac:dyDescent="0.25">
      <c r="B265" s="3"/>
      <c r="C265" s="22" t="s">
        <v>112</v>
      </c>
      <c r="D265" s="73">
        <v>44713</v>
      </c>
      <c r="E265" s="23">
        <v>4.2069999999999999</v>
      </c>
      <c r="F265" s="24">
        <v>377</v>
      </c>
    </row>
    <row r="266" spans="2:6" x14ac:dyDescent="0.25">
      <c r="B266" s="3"/>
      <c r="C266" s="22" t="s">
        <v>112</v>
      </c>
      <c r="D266" s="73">
        <v>44743</v>
      </c>
      <c r="E266" s="23">
        <v>3.7509999999999999</v>
      </c>
      <c r="F266" s="24">
        <v>322</v>
      </c>
    </row>
    <row r="267" spans="2:6" x14ac:dyDescent="0.25">
      <c r="B267" s="3"/>
      <c r="C267" s="22" t="s">
        <v>112</v>
      </c>
      <c r="D267" s="73">
        <v>44774</v>
      </c>
      <c r="E267" s="23">
        <v>3.35</v>
      </c>
      <c r="F267" s="24">
        <v>310</v>
      </c>
    </row>
    <row r="268" spans="2:6" x14ac:dyDescent="0.25">
      <c r="B268" s="3"/>
      <c r="C268" s="22" t="s">
        <v>112</v>
      </c>
      <c r="D268" s="73">
        <v>44805</v>
      </c>
      <c r="E268" s="23">
        <v>2.9319999999999999</v>
      </c>
      <c r="F268" s="24">
        <v>276</v>
      </c>
    </row>
    <row r="269" spans="2:6" x14ac:dyDescent="0.25">
      <c r="B269" s="3"/>
      <c r="C269" s="22" t="s">
        <v>194</v>
      </c>
      <c r="D269" s="73">
        <v>44713</v>
      </c>
      <c r="E269" s="23">
        <v>4.1440000000000001</v>
      </c>
      <c r="F269" s="24">
        <v>200</v>
      </c>
    </row>
    <row r="270" spans="2:6" x14ac:dyDescent="0.25">
      <c r="B270" s="3"/>
      <c r="C270" s="22" t="s">
        <v>194</v>
      </c>
      <c r="D270" s="73">
        <v>44743</v>
      </c>
      <c r="E270" s="23">
        <v>3.653</v>
      </c>
      <c r="F270" s="24">
        <v>174</v>
      </c>
    </row>
    <row r="271" spans="2:6" x14ac:dyDescent="0.25">
      <c r="B271" s="3"/>
      <c r="C271" s="22" t="s">
        <v>194</v>
      </c>
      <c r="D271" s="73">
        <v>44774</v>
      </c>
      <c r="E271" s="23">
        <v>3.4260000000000002</v>
      </c>
      <c r="F271" s="24">
        <v>161</v>
      </c>
    </row>
    <row r="272" spans="2:6" x14ac:dyDescent="0.25">
      <c r="B272" s="3"/>
      <c r="C272" s="22" t="s">
        <v>194</v>
      </c>
      <c r="D272" s="73">
        <v>44805</v>
      </c>
      <c r="E272" s="23">
        <v>3.0760000000000001</v>
      </c>
      <c r="F272" s="24">
        <v>158</v>
      </c>
    </row>
    <row r="273" spans="2:6" x14ac:dyDescent="0.25">
      <c r="B273" s="3"/>
      <c r="C273" s="22" t="s">
        <v>169</v>
      </c>
      <c r="D273" s="73">
        <v>44713</v>
      </c>
      <c r="E273" s="23">
        <v>4.1779999999999999</v>
      </c>
      <c r="F273" s="24">
        <v>385</v>
      </c>
    </row>
    <row r="274" spans="2:6" x14ac:dyDescent="0.25">
      <c r="B274" s="3"/>
      <c r="C274" s="22" t="s">
        <v>169</v>
      </c>
      <c r="D274" s="73">
        <v>44743</v>
      </c>
      <c r="E274" s="23">
        <v>3.7549999999999999</v>
      </c>
      <c r="F274" s="24">
        <v>323</v>
      </c>
    </row>
    <row r="275" spans="2:6" x14ac:dyDescent="0.25">
      <c r="B275" s="3"/>
      <c r="C275" s="22" t="s">
        <v>169</v>
      </c>
      <c r="D275" s="73">
        <v>44774</v>
      </c>
      <c r="E275" s="23">
        <v>3.2930000000000001</v>
      </c>
      <c r="F275" s="24">
        <v>319</v>
      </c>
    </row>
    <row r="276" spans="2:6" x14ac:dyDescent="0.25">
      <c r="B276" s="3"/>
      <c r="C276" s="22" t="s">
        <v>169</v>
      </c>
      <c r="D276" s="73">
        <v>44805</v>
      </c>
      <c r="E276" s="23">
        <v>2.94</v>
      </c>
      <c r="F276" s="24">
        <v>275</v>
      </c>
    </row>
    <row r="277" spans="2:6" x14ac:dyDescent="0.25">
      <c r="B277" s="3"/>
      <c r="C277" s="22" t="s">
        <v>215</v>
      </c>
      <c r="D277" s="73">
        <v>44713</v>
      </c>
      <c r="E277" s="23">
        <v>4.218</v>
      </c>
      <c r="F277" s="24">
        <v>137</v>
      </c>
    </row>
    <row r="278" spans="2:6" x14ac:dyDescent="0.25">
      <c r="B278" s="3"/>
      <c r="C278" s="22" t="s">
        <v>215</v>
      </c>
      <c r="D278" s="73">
        <v>44743</v>
      </c>
      <c r="E278" s="23">
        <v>3.69</v>
      </c>
      <c r="F278" s="24">
        <v>94</v>
      </c>
    </row>
    <row r="279" spans="2:6" x14ac:dyDescent="0.25">
      <c r="B279" s="3"/>
      <c r="C279" s="22" t="s">
        <v>215</v>
      </c>
      <c r="D279" s="73">
        <v>44774</v>
      </c>
      <c r="E279" s="23">
        <v>3.3370000000000002</v>
      </c>
      <c r="F279" s="24">
        <v>92</v>
      </c>
    </row>
    <row r="280" spans="2:6" x14ac:dyDescent="0.25">
      <c r="B280" s="3"/>
      <c r="C280" s="22" t="s">
        <v>215</v>
      </c>
      <c r="D280" s="73">
        <v>44805</v>
      </c>
      <c r="E280" s="23">
        <v>2.863</v>
      </c>
      <c r="F280" s="24">
        <v>116</v>
      </c>
    </row>
    <row r="281" spans="2:6" x14ac:dyDescent="0.25">
      <c r="B281" s="3"/>
      <c r="C281" s="22" t="s">
        <v>183</v>
      </c>
      <c r="D281" s="73">
        <v>44713</v>
      </c>
      <c r="E281" s="23">
        <v>4.2949999999999999</v>
      </c>
      <c r="F281" s="24">
        <v>251</v>
      </c>
    </row>
    <row r="282" spans="2:6" x14ac:dyDescent="0.25">
      <c r="B282" s="3"/>
      <c r="C282" s="22" t="s">
        <v>183</v>
      </c>
      <c r="D282" s="73">
        <v>44743</v>
      </c>
      <c r="E282" s="23">
        <v>3.7</v>
      </c>
      <c r="F282" s="24">
        <v>252</v>
      </c>
    </row>
    <row r="283" spans="2:6" x14ac:dyDescent="0.25">
      <c r="B283" s="3"/>
      <c r="C283" s="22" t="s">
        <v>183</v>
      </c>
      <c r="D283" s="73">
        <v>44774</v>
      </c>
      <c r="E283" s="23">
        <v>3.327</v>
      </c>
      <c r="F283" s="24">
        <v>222</v>
      </c>
    </row>
    <row r="284" spans="2:6" x14ac:dyDescent="0.25">
      <c r="B284" s="3"/>
      <c r="C284" s="22" t="s">
        <v>183</v>
      </c>
      <c r="D284" s="73">
        <v>44805</v>
      </c>
      <c r="E284" s="23">
        <v>2.8580000000000001</v>
      </c>
      <c r="F284" s="24">
        <v>179</v>
      </c>
    </row>
    <row r="285" spans="2:6" x14ac:dyDescent="0.25">
      <c r="B285" s="3"/>
      <c r="C285" s="22" t="s">
        <v>217</v>
      </c>
      <c r="D285" s="73">
        <v>44713</v>
      </c>
      <c r="E285" s="23">
        <v>4.16</v>
      </c>
      <c r="F285" s="24">
        <v>58</v>
      </c>
    </row>
    <row r="286" spans="2:6" x14ac:dyDescent="0.25">
      <c r="B286" s="3"/>
      <c r="C286" s="22" t="s">
        <v>217</v>
      </c>
      <c r="D286" s="73">
        <v>44743</v>
      </c>
      <c r="E286" s="23">
        <v>3.762</v>
      </c>
      <c r="F286" s="24">
        <v>66</v>
      </c>
    </row>
    <row r="287" spans="2:6" x14ac:dyDescent="0.25">
      <c r="B287" s="3"/>
      <c r="C287" s="22" t="s">
        <v>217</v>
      </c>
      <c r="D287" s="73">
        <v>44774</v>
      </c>
      <c r="E287" s="23">
        <v>3.2080000000000002</v>
      </c>
      <c r="F287" s="24">
        <v>55</v>
      </c>
    </row>
    <row r="288" spans="2:6" x14ac:dyDescent="0.25">
      <c r="B288" s="3"/>
      <c r="C288" s="22" t="s">
        <v>217</v>
      </c>
      <c r="D288" s="73">
        <v>44805</v>
      </c>
      <c r="E288" s="23">
        <v>2.9470000000000001</v>
      </c>
      <c r="F288" s="24">
        <v>56</v>
      </c>
    </row>
    <row r="289" spans="2:6" x14ac:dyDescent="0.25">
      <c r="B289" s="3"/>
      <c r="C289" s="22" t="s">
        <v>165</v>
      </c>
      <c r="D289" s="73">
        <v>44713</v>
      </c>
      <c r="E289" s="23">
        <v>4.2460000000000004</v>
      </c>
      <c r="F289" s="24">
        <v>328</v>
      </c>
    </row>
    <row r="290" spans="2:6" x14ac:dyDescent="0.25">
      <c r="B290" s="3"/>
      <c r="C290" s="22" t="s">
        <v>165</v>
      </c>
      <c r="D290" s="73">
        <v>44743</v>
      </c>
      <c r="E290" s="23">
        <v>3.8719999999999999</v>
      </c>
      <c r="F290" s="24">
        <v>284</v>
      </c>
    </row>
    <row r="291" spans="2:6" x14ac:dyDescent="0.25">
      <c r="B291" s="3"/>
      <c r="C291" s="22" t="s">
        <v>165</v>
      </c>
      <c r="D291" s="73">
        <v>44774</v>
      </c>
      <c r="E291" s="23">
        <v>3.4569999999999999</v>
      </c>
      <c r="F291" s="24">
        <v>265</v>
      </c>
    </row>
    <row r="292" spans="2:6" x14ac:dyDescent="0.25">
      <c r="B292" s="3"/>
      <c r="C292" s="22" t="s">
        <v>165</v>
      </c>
      <c r="D292" s="73">
        <v>44805</v>
      </c>
      <c r="E292" s="23">
        <v>3.0529999999999999</v>
      </c>
      <c r="F292" s="24">
        <v>228</v>
      </c>
    </row>
    <row r="293" spans="2:6" x14ac:dyDescent="0.25">
      <c r="B293" s="3"/>
      <c r="C293" s="22" t="s">
        <v>198</v>
      </c>
      <c r="D293" s="73">
        <v>44713</v>
      </c>
      <c r="E293" s="23">
        <v>4.1989999999999998</v>
      </c>
      <c r="F293" s="24">
        <v>115</v>
      </c>
    </row>
    <row r="294" spans="2:6" x14ac:dyDescent="0.25">
      <c r="B294" s="3"/>
      <c r="C294" s="22" t="s">
        <v>198</v>
      </c>
      <c r="D294" s="73">
        <v>44743</v>
      </c>
      <c r="E294" s="23">
        <v>3.7240000000000002</v>
      </c>
      <c r="F294" s="24">
        <v>108</v>
      </c>
    </row>
    <row r="295" spans="2:6" x14ac:dyDescent="0.25">
      <c r="B295" s="3"/>
      <c r="C295" s="22" t="s">
        <v>198</v>
      </c>
      <c r="D295" s="73">
        <v>44774</v>
      </c>
      <c r="E295" s="23">
        <v>3.4209999999999998</v>
      </c>
      <c r="F295" s="24">
        <v>116</v>
      </c>
    </row>
    <row r="296" spans="2:6" x14ac:dyDescent="0.25">
      <c r="B296" s="3"/>
      <c r="C296" s="22" t="s">
        <v>198</v>
      </c>
      <c r="D296" s="73">
        <v>44805</v>
      </c>
      <c r="E296" s="23">
        <v>2.87</v>
      </c>
      <c r="F296" s="24">
        <v>82</v>
      </c>
    </row>
    <row r="297" spans="2:6" x14ac:dyDescent="0.25">
      <c r="B297" s="3"/>
      <c r="C297" s="22" t="s">
        <v>189</v>
      </c>
      <c r="D297" s="73">
        <v>44713</v>
      </c>
      <c r="E297" s="23">
        <v>4.149</v>
      </c>
      <c r="F297" s="24">
        <v>256</v>
      </c>
    </row>
    <row r="298" spans="2:6" x14ac:dyDescent="0.25">
      <c r="B298" s="3"/>
      <c r="C298" s="22" t="s">
        <v>189</v>
      </c>
      <c r="D298" s="73">
        <v>44743</v>
      </c>
      <c r="E298" s="23">
        <v>3.7450000000000001</v>
      </c>
      <c r="F298" s="24">
        <v>204</v>
      </c>
    </row>
    <row r="299" spans="2:6" x14ac:dyDescent="0.25">
      <c r="B299" s="3"/>
      <c r="C299" s="22" t="s">
        <v>189</v>
      </c>
      <c r="D299" s="73">
        <v>44774</v>
      </c>
      <c r="E299" s="23">
        <v>3.4670000000000001</v>
      </c>
      <c r="F299" s="24">
        <v>180</v>
      </c>
    </row>
    <row r="300" spans="2:6" x14ac:dyDescent="0.25">
      <c r="B300" s="3"/>
      <c r="C300" s="22" t="s">
        <v>189</v>
      </c>
      <c r="D300" s="73">
        <v>44805</v>
      </c>
      <c r="E300" s="23">
        <v>2.9620000000000002</v>
      </c>
      <c r="F300" s="24">
        <v>185</v>
      </c>
    </row>
    <row r="301" spans="2:6" x14ac:dyDescent="0.25">
      <c r="B301" s="3"/>
      <c r="C301" s="22" t="s">
        <v>126</v>
      </c>
      <c r="D301" s="73">
        <v>44713</v>
      </c>
      <c r="E301" s="23">
        <v>4.21</v>
      </c>
      <c r="F301" s="24">
        <v>116</v>
      </c>
    </row>
    <row r="302" spans="2:6" x14ac:dyDescent="0.25">
      <c r="B302" s="3"/>
      <c r="C302" s="22" t="s">
        <v>126</v>
      </c>
      <c r="D302" s="73">
        <v>44743</v>
      </c>
      <c r="E302" s="23">
        <v>3.734</v>
      </c>
      <c r="F302" s="24">
        <v>119</v>
      </c>
    </row>
    <row r="303" spans="2:6" x14ac:dyDescent="0.25">
      <c r="B303" s="3"/>
      <c r="C303" s="22" t="s">
        <v>126</v>
      </c>
      <c r="D303" s="73">
        <v>44774</v>
      </c>
      <c r="E303" s="23">
        <v>3.4009999999999998</v>
      </c>
      <c r="F303" s="24">
        <v>105</v>
      </c>
    </row>
    <row r="304" spans="2:6" x14ac:dyDescent="0.25">
      <c r="B304" s="3"/>
      <c r="C304" s="22" t="s">
        <v>126</v>
      </c>
      <c r="D304" s="73">
        <v>44805</v>
      </c>
      <c r="E304" s="23">
        <v>3.0539999999999998</v>
      </c>
      <c r="F304" s="24">
        <v>104</v>
      </c>
    </row>
    <row r="305" spans="2:6" x14ac:dyDescent="0.25">
      <c r="B305" s="3"/>
      <c r="C305" s="22" t="s">
        <v>234</v>
      </c>
      <c r="D305" s="73">
        <v>44713</v>
      </c>
      <c r="E305" s="23">
        <v>4.2160000000000002</v>
      </c>
      <c r="F305" s="24">
        <v>63</v>
      </c>
    </row>
    <row r="306" spans="2:6" x14ac:dyDescent="0.25">
      <c r="B306" s="3"/>
      <c r="C306" s="22" t="s">
        <v>234</v>
      </c>
      <c r="D306" s="73">
        <v>44743</v>
      </c>
      <c r="E306" s="23">
        <v>3.8170000000000002</v>
      </c>
      <c r="F306" s="24">
        <v>54</v>
      </c>
    </row>
    <row r="307" spans="2:6" x14ac:dyDescent="0.25">
      <c r="B307" s="3"/>
      <c r="C307" s="22" t="s">
        <v>234</v>
      </c>
      <c r="D307" s="73">
        <v>44774</v>
      </c>
      <c r="E307" s="23">
        <v>3.4820000000000002</v>
      </c>
      <c r="F307" s="24">
        <v>52</v>
      </c>
    </row>
    <row r="308" spans="2:6" x14ac:dyDescent="0.25">
      <c r="B308" s="3"/>
      <c r="C308" s="22" t="s">
        <v>234</v>
      </c>
      <c r="D308" s="73">
        <v>44805</v>
      </c>
      <c r="E308" s="23">
        <v>2.9180000000000001</v>
      </c>
      <c r="F308" s="24">
        <v>62</v>
      </c>
    </row>
    <row r="309" spans="2:6" x14ac:dyDescent="0.25">
      <c r="B309" s="3"/>
      <c r="C309" s="22" t="s">
        <v>211</v>
      </c>
      <c r="D309" s="73">
        <v>44713</v>
      </c>
      <c r="E309" s="23">
        <v>4.1710000000000003</v>
      </c>
      <c r="F309" s="24">
        <v>160</v>
      </c>
    </row>
    <row r="310" spans="2:6" x14ac:dyDescent="0.25">
      <c r="B310" s="3"/>
      <c r="C310" s="22" t="s">
        <v>211</v>
      </c>
      <c r="D310" s="73">
        <v>44743</v>
      </c>
      <c r="E310" s="23">
        <v>3.641</v>
      </c>
      <c r="F310" s="24">
        <v>180</v>
      </c>
    </row>
    <row r="311" spans="2:6" x14ac:dyDescent="0.25">
      <c r="B311" s="3"/>
      <c r="C311" s="22" t="s">
        <v>211</v>
      </c>
      <c r="D311" s="73">
        <v>44774</v>
      </c>
      <c r="E311" s="23">
        <v>3.4009999999999998</v>
      </c>
      <c r="F311" s="24">
        <v>172</v>
      </c>
    </row>
    <row r="312" spans="2:6" x14ac:dyDescent="0.25">
      <c r="B312" s="3"/>
      <c r="C312" s="22" t="s">
        <v>211</v>
      </c>
      <c r="D312" s="73">
        <v>44805</v>
      </c>
      <c r="E312" s="23">
        <v>2.8450000000000002</v>
      </c>
      <c r="F312" s="24">
        <v>116</v>
      </c>
    </row>
    <row r="313" spans="2:6" x14ac:dyDescent="0.25">
      <c r="B313" s="3"/>
      <c r="C313" s="22" t="s">
        <v>159</v>
      </c>
      <c r="D313" s="73">
        <v>44713</v>
      </c>
      <c r="E313" s="23">
        <v>4.165</v>
      </c>
      <c r="F313" s="24">
        <v>659</v>
      </c>
    </row>
    <row r="314" spans="2:6" x14ac:dyDescent="0.25">
      <c r="B314" s="3"/>
      <c r="C314" s="22" t="s">
        <v>159</v>
      </c>
      <c r="D314" s="73">
        <v>44743</v>
      </c>
      <c r="E314" s="23">
        <v>3.7559999999999998</v>
      </c>
      <c r="F314" s="24">
        <v>619</v>
      </c>
    </row>
    <row r="315" spans="2:6" x14ac:dyDescent="0.25">
      <c r="B315" s="3"/>
      <c r="C315" s="22" t="s">
        <v>159</v>
      </c>
      <c r="D315" s="73">
        <v>44774</v>
      </c>
      <c r="E315" s="23">
        <v>3.3660000000000001</v>
      </c>
      <c r="F315" s="24">
        <v>510</v>
      </c>
    </row>
    <row r="316" spans="2:6" x14ac:dyDescent="0.25">
      <c r="B316" s="3"/>
      <c r="C316" s="22" t="s">
        <v>159</v>
      </c>
      <c r="D316" s="73">
        <v>44805</v>
      </c>
      <c r="E316" s="23">
        <v>3.0209999999999999</v>
      </c>
      <c r="F316" s="24">
        <v>501</v>
      </c>
    </row>
    <row r="317" spans="2:6" x14ac:dyDescent="0.25">
      <c r="B317" s="3"/>
      <c r="C317" s="22" t="s">
        <v>172</v>
      </c>
      <c r="D317" s="73">
        <v>44713</v>
      </c>
      <c r="E317" s="23">
        <v>4.1479999999999997</v>
      </c>
      <c r="F317" s="24">
        <v>375</v>
      </c>
    </row>
    <row r="318" spans="2:6" x14ac:dyDescent="0.25">
      <c r="B318" s="3"/>
      <c r="C318" s="22" t="s">
        <v>172</v>
      </c>
      <c r="D318" s="73">
        <v>44743</v>
      </c>
      <c r="E318" s="23">
        <v>3.7589999999999999</v>
      </c>
      <c r="F318" s="24">
        <v>343</v>
      </c>
    </row>
    <row r="319" spans="2:6" x14ac:dyDescent="0.25">
      <c r="B319" s="3"/>
      <c r="C319" s="22" t="s">
        <v>172</v>
      </c>
      <c r="D319" s="73">
        <v>44774</v>
      </c>
      <c r="E319" s="23">
        <v>3.4470000000000001</v>
      </c>
      <c r="F319" s="24">
        <v>293</v>
      </c>
    </row>
    <row r="320" spans="2:6" x14ac:dyDescent="0.25">
      <c r="B320" s="3"/>
      <c r="C320" s="22" t="s">
        <v>172</v>
      </c>
      <c r="D320" s="73">
        <v>44805</v>
      </c>
      <c r="E320" s="23">
        <v>3.0089999999999999</v>
      </c>
      <c r="F320" s="24">
        <v>299</v>
      </c>
    </row>
    <row r="321" spans="2:6" x14ac:dyDescent="0.25">
      <c r="B321" s="3"/>
      <c r="C321" s="22" t="s">
        <v>176</v>
      </c>
      <c r="D321" s="73">
        <v>44713</v>
      </c>
      <c r="E321" s="23">
        <v>4.2359999999999998</v>
      </c>
      <c r="F321" s="24">
        <v>389</v>
      </c>
    </row>
    <row r="322" spans="2:6" x14ac:dyDescent="0.25">
      <c r="B322" s="3"/>
      <c r="C322" s="22" t="s">
        <v>176</v>
      </c>
      <c r="D322" s="73">
        <v>44743</v>
      </c>
      <c r="E322" s="23">
        <v>3.6819999999999999</v>
      </c>
      <c r="F322" s="24">
        <v>312</v>
      </c>
    </row>
    <row r="323" spans="2:6" x14ac:dyDescent="0.25">
      <c r="B323" s="3"/>
      <c r="C323" s="22" t="s">
        <v>176</v>
      </c>
      <c r="D323" s="73">
        <v>44774</v>
      </c>
      <c r="E323" s="23">
        <v>3.3839999999999999</v>
      </c>
      <c r="F323" s="24">
        <v>288</v>
      </c>
    </row>
    <row r="324" spans="2:6" x14ac:dyDescent="0.25">
      <c r="B324" s="3"/>
      <c r="C324" s="22" t="s">
        <v>176</v>
      </c>
      <c r="D324" s="73">
        <v>44805</v>
      </c>
      <c r="E324" s="23">
        <v>3.0030000000000001</v>
      </c>
      <c r="F324" s="24">
        <v>281</v>
      </c>
    </row>
    <row r="325" spans="2:6" x14ac:dyDescent="0.25">
      <c r="B325" s="3"/>
      <c r="C325" s="22" t="s">
        <v>236</v>
      </c>
      <c r="D325" s="73">
        <v>44713</v>
      </c>
      <c r="E325" s="23">
        <v>4.2699999999999996</v>
      </c>
      <c r="F325" s="24">
        <v>54</v>
      </c>
    </row>
    <row r="326" spans="2:6" x14ac:dyDescent="0.25">
      <c r="B326" s="3"/>
      <c r="C326" s="22" t="s">
        <v>236</v>
      </c>
      <c r="D326" s="73">
        <v>44743</v>
      </c>
      <c r="E326" s="23">
        <v>3.5350000000000001</v>
      </c>
      <c r="F326" s="24">
        <v>59</v>
      </c>
    </row>
    <row r="327" spans="2:6" x14ac:dyDescent="0.25">
      <c r="B327" s="3"/>
      <c r="C327" s="22" t="s">
        <v>236</v>
      </c>
      <c r="D327" s="73">
        <v>44774</v>
      </c>
      <c r="E327" s="23">
        <v>3.476</v>
      </c>
      <c r="F327" s="24">
        <v>58</v>
      </c>
    </row>
    <row r="328" spans="2:6" x14ac:dyDescent="0.25">
      <c r="B328" s="3"/>
      <c r="C328" s="22" t="s">
        <v>236</v>
      </c>
      <c r="D328" s="73">
        <v>44805</v>
      </c>
      <c r="E328" s="23">
        <v>2.9430000000000001</v>
      </c>
      <c r="F328" s="24">
        <v>50</v>
      </c>
    </row>
    <row r="329" spans="2:6" x14ac:dyDescent="0.25">
      <c r="B329" s="3"/>
      <c r="C329" s="22" t="s">
        <v>208</v>
      </c>
      <c r="D329" s="73">
        <v>44713</v>
      </c>
      <c r="E329" s="23">
        <v>4.3170000000000002</v>
      </c>
      <c r="F329" s="24">
        <v>122</v>
      </c>
    </row>
    <row r="330" spans="2:6" x14ac:dyDescent="0.25">
      <c r="B330" s="3"/>
      <c r="C330" s="22" t="s">
        <v>208</v>
      </c>
      <c r="D330" s="73">
        <v>44743</v>
      </c>
      <c r="E330" s="23">
        <v>3.76</v>
      </c>
      <c r="F330" s="24">
        <v>129</v>
      </c>
    </row>
    <row r="331" spans="2:6" x14ac:dyDescent="0.25">
      <c r="B331" s="3"/>
      <c r="C331" s="22" t="s">
        <v>208</v>
      </c>
      <c r="D331" s="73">
        <v>44774</v>
      </c>
      <c r="E331" s="23">
        <v>3.4969999999999999</v>
      </c>
      <c r="F331" s="24">
        <v>122</v>
      </c>
    </row>
    <row r="332" spans="2:6" x14ac:dyDescent="0.25">
      <c r="B332" s="3"/>
      <c r="C332" s="22" t="s">
        <v>208</v>
      </c>
      <c r="D332" s="73">
        <v>44805</v>
      </c>
      <c r="E332" s="23">
        <v>2.9980000000000002</v>
      </c>
      <c r="F332" s="24">
        <v>90</v>
      </c>
    </row>
    <row r="333" spans="2:6" x14ac:dyDescent="0.25">
      <c r="B333" s="3"/>
      <c r="C333" s="22" t="s">
        <v>174</v>
      </c>
      <c r="D333" s="73">
        <v>44713</v>
      </c>
      <c r="E333" s="23">
        <v>4.2850000000000001</v>
      </c>
      <c r="F333" s="24">
        <v>252</v>
      </c>
    </row>
    <row r="334" spans="2:6" x14ac:dyDescent="0.25">
      <c r="B334" s="3"/>
      <c r="C334" s="22" t="s">
        <v>174</v>
      </c>
      <c r="D334" s="73">
        <v>44743</v>
      </c>
      <c r="E334" s="23">
        <v>3.794</v>
      </c>
      <c r="F334" s="24">
        <v>222</v>
      </c>
    </row>
    <row r="335" spans="2:6" x14ac:dyDescent="0.25">
      <c r="B335" s="3"/>
      <c r="C335" s="22" t="s">
        <v>174</v>
      </c>
      <c r="D335" s="73">
        <v>44774</v>
      </c>
      <c r="E335" s="23">
        <v>3.4220000000000002</v>
      </c>
      <c r="F335" s="24">
        <v>224</v>
      </c>
    </row>
    <row r="336" spans="2:6" x14ac:dyDescent="0.25">
      <c r="B336" s="3"/>
      <c r="C336" s="22" t="s">
        <v>174</v>
      </c>
      <c r="D336" s="73">
        <v>44805</v>
      </c>
      <c r="E336" s="23">
        <v>3.0459999999999998</v>
      </c>
      <c r="F336" s="24">
        <v>192</v>
      </c>
    </row>
    <row r="337" spans="2:6" x14ac:dyDescent="0.25">
      <c r="B337" s="3"/>
      <c r="C337" s="22" t="s">
        <v>237</v>
      </c>
      <c r="D337" s="73">
        <v>44713</v>
      </c>
      <c r="E337" s="23">
        <v>4.2779999999999996</v>
      </c>
      <c r="F337" s="24">
        <v>57</v>
      </c>
    </row>
    <row r="338" spans="2:6" x14ac:dyDescent="0.25">
      <c r="B338" s="3"/>
      <c r="C338" s="22" t="s">
        <v>237</v>
      </c>
      <c r="D338" s="73">
        <v>44743</v>
      </c>
      <c r="E338" s="23">
        <v>3.923</v>
      </c>
      <c r="F338" s="24">
        <v>55</v>
      </c>
    </row>
    <row r="339" spans="2:6" x14ac:dyDescent="0.25">
      <c r="B339" s="3"/>
      <c r="C339" s="22" t="s">
        <v>237</v>
      </c>
      <c r="D339" s="73">
        <v>44774</v>
      </c>
      <c r="E339" s="23">
        <v>3.4180000000000001</v>
      </c>
      <c r="F339" s="24">
        <v>56</v>
      </c>
    </row>
    <row r="340" spans="2:6" x14ac:dyDescent="0.25">
      <c r="B340" s="3"/>
      <c r="C340" s="22" t="s">
        <v>237</v>
      </c>
      <c r="D340" s="73">
        <v>44805</v>
      </c>
      <c r="E340" s="23">
        <v>2.673</v>
      </c>
      <c r="F340" s="24">
        <v>44</v>
      </c>
    </row>
    <row r="341" spans="2:6" x14ac:dyDescent="0.25">
      <c r="B341" s="3"/>
      <c r="C341" s="22" t="s">
        <v>171</v>
      </c>
      <c r="D341" s="73">
        <v>44713</v>
      </c>
      <c r="E341" s="23">
        <v>4.21</v>
      </c>
      <c r="F341" s="24">
        <v>326</v>
      </c>
    </row>
    <row r="342" spans="2:6" x14ac:dyDescent="0.25">
      <c r="B342" s="3"/>
      <c r="C342" s="22" t="s">
        <v>171</v>
      </c>
      <c r="D342" s="73">
        <v>44743</v>
      </c>
      <c r="E342" s="23">
        <v>3.6829999999999998</v>
      </c>
      <c r="F342" s="24">
        <v>276</v>
      </c>
    </row>
    <row r="343" spans="2:6" x14ac:dyDescent="0.25">
      <c r="B343" s="3"/>
      <c r="C343" s="22" t="s">
        <v>171</v>
      </c>
      <c r="D343" s="73">
        <v>44774</v>
      </c>
      <c r="E343" s="23">
        <v>3.4159999999999999</v>
      </c>
      <c r="F343" s="24">
        <v>286</v>
      </c>
    </row>
    <row r="344" spans="2:6" x14ac:dyDescent="0.25">
      <c r="B344" s="3"/>
      <c r="C344" s="22" t="s">
        <v>171</v>
      </c>
      <c r="D344" s="73">
        <v>44805</v>
      </c>
      <c r="E344" s="23">
        <v>3.0659999999999998</v>
      </c>
      <c r="F344" s="24">
        <v>226</v>
      </c>
    </row>
    <row r="345" spans="2:6" x14ac:dyDescent="0.25">
      <c r="B345" s="3"/>
      <c r="C345" s="22" t="s">
        <v>179</v>
      </c>
      <c r="D345" s="73">
        <v>44713</v>
      </c>
      <c r="E345" s="23">
        <v>4.2</v>
      </c>
      <c r="F345" s="24">
        <v>251</v>
      </c>
    </row>
    <row r="346" spans="2:6" x14ac:dyDescent="0.25">
      <c r="B346" s="3"/>
      <c r="C346" s="22" t="s">
        <v>179</v>
      </c>
      <c r="D346" s="73">
        <v>44743</v>
      </c>
      <c r="E346" s="23">
        <v>3.657</v>
      </c>
      <c r="F346" s="24">
        <v>227</v>
      </c>
    </row>
    <row r="347" spans="2:6" x14ac:dyDescent="0.25">
      <c r="B347" s="3"/>
      <c r="C347" s="22" t="s">
        <v>179</v>
      </c>
      <c r="D347" s="73">
        <v>44774</v>
      </c>
      <c r="E347" s="23">
        <v>3.4670000000000001</v>
      </c>
      <c r="F347" s="24">
        <v>206</v>
      </c>
    </row>
    <row r="348" spans="2:6" x14ac:dyDescent="0.25">
      <c r="B348" s="3"/>
      <c r="C348" s="22" t="s">
        <v>179</v>
      </c>
      <c r="D348" s="73">
        <v>44805</v>
      </c>
      <c r="E348" s="23">
        <v>2.9940000000000002</v>
      </c>
      <c r="F348" s="24">
        <v>178</v>
      </c>
    </row>
    <row r="349" spans="2:6" x14ac:dyDescent="0.25">
      <c r="B349" s="3"/>
      <c r="C349" s="22" t="s">
        <v>204</v>
      </c>
      <c r="D349" s="73">
        <v>44713</v>
      </c>
      <c r="E349" s="23">
        <v>4.1779999999999999</v>
      </c>
      <c r="F349" s="24">
        <v>180</v>
      </c>
    </row>
    <row r="350" spans="2:6" x14ac:dyDescent="0.25">
      <c r="B350" s="3"/>
      <c r="C350" s="22" t="s">
        <v>204</v>
      </c>
      <c r="D350" s="73">
        <v>44743</v>
      </c>
      <c r="E350" s="23">
        <v>3.6669999999999998</v>
      </c>
      <c r="F350" s="24">
        <v>163</v>
      </c>
    </row>
    <row r="351" spans="2:6" x14ac:dyDescent="0.25">
      <c r="B351" s="3"/>
      <c r="C351" s="22" t="s">
        <v>204</v>
      </c>
      <c r="D351" s="73">
        <v>44774</v>
      </c>
      <c r="E351" s="23">
        <v>3.306</v>
      </c>
      <c r="F351" s="24">
        <v>162</v>
      </c>
    </row>
    <row r="352" spans="2:6" x14ac:dyDescent="0.25">
      <c r="B352" s="3"/>
      <c r="C352" s="22" t="s">
        <v>204</v>
      </c>
      <c r="D352" s="73">
        <v>44805</v>
      </c>
      <c r="E352" s="23">
        <v>3.14</v>
      </c>
      <c r="F352" s="24">
        <v>127</v>
      </c>
    </row>
    <row r="353" spans="2:6" x14ac:dyDescent="0.25">
      <c r="B353" s="3"/>
      <c r="C353" s="22" t="s">
        <v>206</v>
      </c>
      <c r="D353" s="73">
        <v>44713</v>
      </c>
      <c r="E353" s="23">
        <v>4.1950000000000003</v>
      </c>
      <c r="F353" s="24">
        <v>171</v>
      </c>
    </row>
    <row r="354" spans="2:6" x14ac:dyDescent="0.25">
      <c r="B354" s="3"/>
      <c r="C354" s="22" t="s">
        <v>206</v>
      </c>
      <c r="D354" s="73">
        <v>44743</v>
      </c>
      <c r="E354" s="23">
        <v>3.74</v>
      </c>
      <c r="F354" s="24">
        <v>158</v>
      </c>
    </row>
    <row r="355" spans="2:6" x14ac:dyDescent="0.25">
      <c r="B355" s="3"/>
      <c r="C355" s="22" t="s">
        <v>206</v>
      </c>
      <c r="D355" s="73">
        <v>44774</v>
      </c>
      <c r="E355" s="23">
        <v>3.488</v>
      </c>
      <c r="F355" s="24">
        <v>137</v>
      </c>
    </row>
    <row r="356" spans="2:6" x14ac:dyDescent="0.25">
      <c r="B356" s="3"/>
      <c r="C356" s="22" t="s">
        <v>206</v>
      </c>
      <c r="D356" s="73">
        <v>44805</v>
      </c>
      <c r="E356" s="23">
        <v>3.0779999999999998</v>
      </c>
      <c r="F356" s="24">
        <v>138</v>
      </c>
    </row>
    <row r="357" spans="2:6" x14ac:dyDescent="0.25">
      <c r="B357" s="3"/>
      <c r="C357" s="22" t="s">
        <v>175</v>
      </c>
      <c r="D357" s="73">
        <v>44713</v>
      </c>
      <c r="E357" s="23">
        <v>4.2640000000000002</v>
      </c>
      <c r="F357" s="24">
        <v>245</v>
      </c>
    </row>
    <row r="358" spans="2:6" x14ac:dyDescent="0.25">
      <c r="B358" s="3"/>
      <c r="C358" s="22" t="s">
        <v>175</v>
      </c>
      <c r="D358" s="73">
        <v>44743</v>
      </c>
      <c r="E358" s="23">
        <v>3.6349999999999998</v>
      </c>
      <c r="F358" s="24">
        <v>244</v>
      </c>
    </row>
    <row r="359" spans="2:6" x14ac:dyDescent="0.25">
      <c r="B359" s="3"/>
      <c r="C359" s="22" t="s">
        <v>175</v>
      </c>
      <c r="D359" s="73">
        <v>44774</v>
      </c>
      <c r="E359" s="23">
        <v>3.3719999999999999</v>
      </c>
      <c r="F359" s="24">
        <v>191</v>
      </c>
    </row>
    <row r="360" spans="2:6" x14ac:dyDescent="0.25">
      <c r="B360" s="3"/>
      <c r="C360" s="22" t="s">
        <v>175</v>
      </c>
      <c r="D360" s="73">
        <v>44805</v>
      </c>
      <c r="E360" s="23">
        <v>3.0070000000000001</v>
      </c>
      <c r="F360" s="24">
        <v>178</v>
      </c>
    </row>
    <row r="361" spans="2:6" x14ac:dyDescent="0.25">
      <c r="B361" s="3"/>
      <c r="C361" s="22" t="s">
        <v>192</v>
      </c>
      <c r="D361" s="73">
        <v>44713</v>
      </c>
      <c r="E361" s="23">
        <v>4.1959999999999997</v>
      </c>
      <c r="F361" s="24">
        <v>116</v>
      </c>
    </row>
    <row r="362" spans="2:6" x14ac:dyDescent="0.25">
      <c r="B362" s="3"/>
      <c r="C362" s="22" t="s">
        <v>192</v>
      </c>
      <c r="D362" s="73">
        <v>44743</v>
      </c>
      <c r="E362" s="23">
        <v>3.7949999999999999</v>
      </c>
      <c r="F362" s="24">
        <v>118</v>
      </c>
    </row>
    <row r="363" spans="2:6" x14ac:dyDescent="0.25">
      <c r="B363" s="3"/>
      <c r="C363" s="22" t="s">
        <v>192</v>
      </c>
      <c r="D363" s="73">
        <v>44774</v>
      </c>
      <c r="E363" s="23">
        <v>3.254</v>
      </c>
      <c r="F363" s="24">
        <v>104</v>
      </c>
    </row>
    <row r="364" spans="2:6" x14ac:dyDescent="0.25">
      <c r="B364" s="3"/>
      <c r="C364" s="22" t="s">
        <v>192</v>
      </c>
      <c r="D364" s="73">
        <v>44805</v>
      </c>
      <c r="E364" s="23">
        <v>3.161</v>
      </c>
      <c r="F364" s="24">
        <v>99</v>
      </c>
    </row>
    <row r="365" spans="2:6" x14ac:dyDescent="0.25">
      <c r="B365" s="3"/>
      <c r="C365" s="22" t="s">
        <v>167</v>
      </c>
      <c r="D365" s="73">
        <v>44713</v>
      </c>
      <c r="E365" s="23">
        <v>4.2969999999999997</v>
      </c>
      <c r="F365" s="24">
        <v>445</v>
      </c>
    </row>
    <row r="366" spans="2:6" x14ac:dyDescent="0.25">
      <c r="B366" s="3"/>
      <c r="C366" s="22" t="s">
        <v>167</v>
      </c>
      <c r="D366" s="73">
        <v>44743</v>
      </c>
      <c r="E366" s="23">
        <v>3.746</v>
      </c>
      <c r="F366" s="24">
        <v>373</v>
      </c>
    </row>
    <row r="367" spans="2:6" x14ac:dyDescent="0.25">
      <c r="B367" s="3"/>
      <c r="C367" s="22" t="s">
        <v>167</v>
      </c>
      <c r="D367" s="73">
        <v>44774</v>
      </c>
      <c r="E367" s="23">
        <v>3.3490000000000002</v>
      </c>
      <c r="F367" s="24">
        <v>330</v>
      </c>
    </row>
    <row r="368" spans="2:6" x14ac:dyDescent="0.25">
      <c r="B368" s="3"/>
      <c r="C368" s="22" t="s">
        <v>167</v>
      </c>
      <c r="D368" s="73">
        <v>44805</v>
      </c>
      <c r="E368" s="23">
        <v>3.008</v>
      </c>
      <c r="F368" s="24">
        <v>343</v>
      </c>
    </row>
    <row r="369" spans="2:6" x14ac:dyDescent="0.25">
      <c r="B369" s="3"/>
      <c r="C369" s="22" t="s">
        <v>161</v>
      </c>
      <c r="D369" s="73">
        <v>44713</v>
      </c>
      <c r="E369" s="23">
        <v>4.2130000000000001</v>
      </c>
      <c r="F369" s="24">
        <v>541</v>
      </c>
    </row>
    <row r="370" spans="2:6" x14ac:dyDescent="0.25">
      <c r="B370" s="3"/>
      <c r="C370" s="22" t="s">
        <v>161</v>
      </c>
      <c r="D370" s="73">
        <v>44743</v>
      </c>
      <c r="E370" s="23">
        <v>3.7509999999999999</v>
      </c>
      <c r="F370" s="24">
        <v>521</v>
      </c>
    </row>
    <row r="371" spans="2:6" x14ac:dyDescent="0.25">
      <c r="B371" s="3"/>
      <c r="C371" s="22" t="s">
        <v>161</v>
      </c>
      <c r="D371" s="73">
        <v>44774</v>
      </c>
      <c r="E371" s="23">
        <v>3.3050000000000002</v>
      </c>
      <c r="F371" s="24">
        <v>474</v>
      </c>
    </row>
    <row r="372" spans="2:6" x14ac:dyDescent="0.25">
      <c r="B372" s="3"/>
      <c r="C372" s="22" t="s">
        <v>161</v>
      </c>
      <c r="D372" s="73">
        <v>44805</v>
      </c>
      <c r="E372" s="23">
        <v>3.04</v>
      </c>
      <c r="F372" s="24">
        <v>443</v>
      </c>
    </row>
    <row r="373" spans="2:6" x14ac:dyDescent="0.25">
      <c r="B373" s="3"/>
      <c r="C373" s="22" t="s">
        <v>160</v>
      </c>
      <c r="D373" s="73">
        <v>44713</v>
      </c>
      <c r="E373" s="23">
        <v>4.2220000000000004</v>
      </c>
      <c r="F373" s="24">
        <v>633</v>
      </c>
    </row>
    <row r="374" spans="2:6" x14ac:dyDescent="0.25">
      <c r="B374" s="3"/>
      <c r="C374" s="22" t="s">
        <v>160</v>
      </c>
      <c r="D374" s="73">
        <v>44743</v>
      </c>
      <c r="E374" s="23">
        <v>3.6640000000000001</v>
      </c>
      <c r="F374" s="24">
        <v>580</v>
      </c>
    </row>
    <row r="375" spans="2:6" x14ac:dyDescent="0.25">
      <c r="B375" s="3"/>
      <c r="C375" s="22" t="s">
        <v>160</v>
      </c>
      <c r="D375" s="73">
        <v>44774</v>
      </c>
      <c r="E375" s="23">
        <v>3.2879999999999998</v>
      </c>
      <c r="F375" s="24">
        <v>498</v>
      </c>
    </row>
    <row r="376" spans="2:6" x14ac:dyDescent="0.25">
      <c r="B376" s="3"/>
      <c r="C376" s="22" t="s">
        <v>160</v>
      </c>
      <c r="D376" s="73">
        <v>44805</v>
      </c>
      <c r="E376" s="23">
        <v>3.0459999999999998</v>
      </c>
      <c r="F376" s="24">
        <v>470</v>
      </c>
    </row>
    <row r="377" spans="2:6" x14ac:dyDescent="0.25">
      <c r="B377" s="3"/>
      <c r="C377" s="22" t="s">
        <v>186</v>
      </c>
      <c r="D377" s="73">
        <v>44713</v>
      </c>
      <c r="E377" s="23">
        <v>4.2729999999999997</v>
      </c>
      <c r="F377" s="24">
        <v>174</v>
      </c>
    </row>
    <row r="378" spans="2:6" x14ac:dyDescent="0.25">
      <c r="B378" s="3"/>
      <c r="C378" s="22" t="s">
        <v>186</v>
      </c>
      <c r="D378" s="73">
        <v>44743</v>
      </c>
      <c r="E378" s="23">
        <v>3.64</v>
      </c>
      <c r="F378" s="24">
        <v>191</v>
      </c>
    </row>
    <row r="379" spans="2:6" x14ac:dyDescent="0.25">
      <c r="B379" s="3"/>
      <c r="C379" s="22" t="s">
        <v>186</v>
      </c>
      <c r="D379" s="73">
        <v>44774</v>
      </c>
      <c r="E379" s="23">
        <v>3.556</v>
      </c>
      <c r="F379" s="24">
        <v>121</v>
      </c>
    </row>
    <row r="380" spans="2:6" x14ac:dyDescent="0.25">
      <c r="B380" s="3"/>
      <c r="C380" s="22" t="s">
        <v>186</v>
      </c>
      <c r="D380" s="73">
        <v>44805</v>
      </c>
      <c r="E380" s="23">
        <v>2.9849999999999999</v>
      </c>
      <c r="F380" s="24">
        <v>143</v>
      </c>
    </row>
    <row r="381" spans="2:6" x14ac:dyDescent="0.25">
      <c r="B381" s="3"/>
      <c r="C381" s="22" t="s">
        <v>122</v>
      </c>
      <c r="D381" s="73">
        <v>44713</v>
      </c>
      <c r="E381" s="23">
        <v>4.2240000000000002</v>
      </c>
      <c r="F381" s="24">
        <v>114</v>
      </c>
    </row>
    <row r="382" spans="2:6" x14ac:dyDescent="0.25">
      <c r="B382" s="3"/>
      <c r="C382" s="22" t="s">
        <v>122</v>
      </c>
      <c r="D382" s="73">
        <v>44743</v>
      </c>
      <c r="E382" s="23">
        <v>3.53</v>
      </c>
      <c r="F382" s="24">
        <v>89</v>
      </c>
    </row>
    <row r="383" spans="2:6" x14ac:dyDescent="0.25">
      <c r="B383" s="3"/>
      <c r="C383" s="22" t="s">
        <v>122</v>
      </c>
      <c r="D383" s="73">
        <v>44774</v>
      </c>
      <c r="E383" s="23">
        <v>3.3260000000000001</v>
      </c>
      <c r="F383" s="24">
        <v>90</v>
      </c>
    </row>
    <row r="384" spans="2:6" x14ac:dyDescent="0.25">
      <c r="B384" s="3"/>
      <c r="C384" s="22" t="s">
        <v>122</v>
      </c>
      <c r="D384" s="73">
        <v>44805</v>
      </c>
      <c r="E384" s="23">
        <v>2.8639999999999999</v>
      </c>
      <c r="F384" s="24">
        <v>111</v>
      </c>
    </row>
    <row r="385" spans="2:6" x14ac:dyDescent="0.25">
      <c r="B385" s="3"/>
      <c r="C385" s="22" t="s">
        <v>162</v>
      </c>
      <c r="D385" s="73">
        <v>44713</v>
      </c>
      <c r="E385" s="23">
        <v>4.22</v>
      </c>
      <c r="F385" s="24">
        <v>549</v>
      </c>
    </row>
    <row r="386" spans="2:6" x14ac:dyDescent="0.25">
      <c r="B386" s="3"/>
      <c r="C386" s="22" t="s">
        <v>162</v>
      </c>
      <c r="D386" s="73">
        <v>44743</v>
      </c>
      <c r="E386" s="23">
        <v>3.7149999999999999</v>
      </c>
      <c r="F386" s="24">
        <v>493</v>
      </c>
    </row>
    <row r="387" spans="2:6" x14ac:dyDescent="0.25">
      <c r="B387" s="3"/>
      <c r="C387" s="22" t="s">
        <v>162</v>
      </c>
      <c r="D387" s="73">
        <v>44774</v>
      </c>
      <c r="E387" s="23">
        <v>3.4089999999999998</v>
      </c>
      <c r="F387" s="24">
        <v>446</v>
      </c>
    </row>
    <row r="388" spans="2:6" x14ac:dyDescent="0.25">
      <c r="B388" s="3"/>
      <c r="C388" s="22" t="s">
        <v>162</v>
      </c>
      <c r="D388" s="73">
        <v>44805</v>
      </c>
      <c r="E388" s="23">
        <v>3.05</v>
      </c>
      <c r="F388" s="24">
        <v>400</v>
      </c>
    </row>
    <row r="389" spans="2:6" x14ac:dyDescent="0.25">
      <c r="B389" s="3"/>
      <c r="C389" s="22" t="s">
        <v>205</v>
      </c>
      <c r="D389" s="73">
        <v>44713</v>
      </c>
      <c r="E389" s="23">
        <v>4.2389999999999999</v>
      </c>
      <c r="F389" s="24">
        <v>123</v>
      </c>
    </row>
    <row r="390" spans="2:6" x14ac:dyDescent="0.25">
      <c r="B390" s="3"/>
      <c r="C390" s="22" t="s">
        <v>205</v>
      </c>
      <c r="D390" s="73">
        <v>44743</v>
      </c>
      <c r="E390" s="23">
        <v>3.6880000000000002</v>
      </c>
      <c r="F390" s="24">
        <v>104</v>
      </c>
    </row>
    <row r="391" spans="2:6" x14ac:dyDescent="0.25">
      <c r="B391" s="3"/>
      <c r="C391" s="22" t="s">
        <v>205</v>
      </c>
      <c r="D391" s="73">
        <v>44774</v>
      </c>
      <c r="E391" s="23">
        <v>3.5270000000000001</v>
      </c>
      <c r="F391" s="24">
        <v>132</v>
      </c>
    </row>
    <row r="392" spans="2:6" ht="15.75" thickBot="1" x14ac:dyDescent="0.3">
      <c r="B392" s="3"/>
      <c r="C392" s="25" t="s">
        <v>205</v>
      </c>
      <c r="D392" s="74">
        <v>44805</v>
      </c>
      <c r="E392" s="26">
        <v>2.9220000000000002</v>
      </c>
      <c r="F392" s="27">
        <v>93</v>
      </c>
    </row>
  </sheetData>
  <mergeCells count="5">
    <mergeCell ref="B2:G2"/>
    <mergeCell ref="B20:D20"/>
    <mergeCell ref="I2:J2"/>
    <mergeCell ref="I9:K9"/>
    <mergeCell ref="C39:F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2564-ACCE-4A96-A416-06938A2D60CA}">
  <dimension ref="A1"/>
  <sheetViews>
    <sheetView workbookViewId="0">
      <selection activeCell="E14" sqref="E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List of Tables</vt:lpstr>
      <vt:lpstr>customers</vt:lpstr>
      <vt:lpstr>drivers</vt:lpstr>
      <vt:lpstr>food_items</vt:lpstr>
      <vt:lpstr>orders</vt:lpstr>
      <vt:lpstr>orders_items</vt:lpstr>
      <vt:lpstr>restaurants</vt:lpstr>
      <vt:lpstr>Analysis</vt:lpstr>
      <vt:lpstr>Analysis-2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kumar Reddy</dc:creator>
  <cp:lastModifiedBy>krishna reddy</cp:lastModifiedBy>
  <dcterms:created xsi:type="dcterms:W3CDTF">2025-09-04T10:37:08Z</dcterms:created>
  <dcterms:modified xsi:type="dcterms:W3CDTF">2025-09-12T14:21:39Z</dcterms:modified>
</cp:coreProperties>
</file>